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U:\APDP\Continuing Education\"/>
    </mc:Choice>
  </mc:AlternateContent>
  <bookViews>
    <workbookView xWindow="0" yWindow="0" windowWidth="20490" windowHeight="7620" activeTab="1"/>
  </bookViews>
  <sheets>
    <sheet name="Input and Instructions" sheetId="12" r:id="rId1"/>
    <sheet name="2021 CE Credits" sheetId="4" r:id="rId2"/>
    <sheet name="2021 Attestation Form" sheetId="6" r:id="rId3"/>
    <sheet name="2000 CE Credits" sheetId="13" r:id="rId4"/>
    <sheet name="Guidance" sheetId="11" r:id="rId5"/>
    <sheet name="Annual Schedule to Attest" sheetId="9" r:id="rId6"/>
    <sheet name="Reference" sheetId="7" r:id="rId7"/>
  </sheets>
  <definedNames>
    <definedName name="_xlnm._FilterDatabase" localSheetId="0" hidden="1">'Input and Instructions'!$A$34:$B$42</definedName>
    <definedName name="File_Name">'Input and Instructions'!$A$32</definedName>
    <definedName name="TemplateYear">'Input and Instructions'!$B$4</definedName>
  </definedNames>
  <calcPr calcId="162913"/>
</workbook>
</file>

<file path=xl/calcChain.xml><?xml version="1.0" encoding="utf-8"?>
<calcChain xmlns="http://schemas.openxmlformats.org/spreadsheetml/2006/main">
  <c r="P13" i="4" l="1"/>
  <c r="R11" i="4" l="1"/>
  <c r="T11" i="4"/>
  <c r="F91" i="6"/>
  <c r="F35" i="6"/>
  <c r="U8" i="4"/>
  <c r="G1" i="13"/>
  <c r="G5" i="4"/>
  <c r="A49" i="12"/>
  <c r="A47" i="12"/>
  <c r="A46" i="12"/>
  <c r="T76" i="4" l="1"/>
  <c r="T75" i="4"/>
  <c r="T74" i="4"/>
  <c r="T73" i="4"/>
  <c r="T72" i="4"/>
  <c r="T71" i="4"/>
  <c r="T70" i="4"/>
  <c r="T69" i="4"/>
  <c r="T68" i="4"/>
  <c r="T67" i="4"/>
  <c r="T66" i="4"/>
  <c r="T65" i="4"/>
  <c r="T64" i="4"/>
  <c r="T63" i="4"/>
  <c r="T62" i="4"/>
  <c r="T61" i="4"/>
  <c r="T60" i="4"/>
  <c r="T59" i="4"/>
  <c r="T58" i="4"/>
  <c r="T57" i="4"/>
  <c r="T56" i="4"/>
  <c r="T55" i="4"/>
  <c r="T54" i="4"/>
  <c r="T53" i="4"/>
  <c r="T52" i="4"/>
  <c r="T51" i="4"/>
  <c r="T50" i="4"/>
  <c r="T49" i="4"/>
  <c r="T48" i="4"/>
  <c r="T47" i="4"/>
  <c r="T46" i="4"/>
  <c r="T45" i="4"/>
  <c r="T44" i="4"/>
  <c r="T43" i="4"/>
  <c r="T42" i="4"/>
  <c r="T41" i="4"/>
  <c r="T40" i="4"/>
  <c r="T39" i="4"/>
  <c r="T38" i="4"/>
  <c r="T37" i="4"/>
  <c r="T36" i="4"/>
  <c r="T35" i="4"/>
  <c r="T34" i="4"/>
  <c r="T33" i="4"/>
  <c r="T32" i="4"/>
  <c r="T31" i="4"/>
  <c r="T30" i="4"/>
  <c r="T29" i="4"/>
  <c r="T28" i="4"/>
  <c r="T27" i="4"/>
  <c r="T26" i="4"/>
  <c r="T25" i="4"/>
  <c r="T24" i="4"/>
  <c r="T23" i="4"/>
  <c r="T22" i="4"/>
  <c r="T21" i="4"/>
  <c r="T20" i="4"/>
  <c r="T19" i="4"/>
  <c r="T18" i="4"/>
  <c r="T17" i="4"/>
  <c r="T16" i="4"/>
  <c r="T15" i="4"/>
  <c r="T14" i="4"/>
  <c r="T13" i="4"/>
  <c r="T12" i="4"/>
  <c r="R76" i="4"/>
  <c r="R75" i="4"/>
  <c r="S76" i="4"/>
  <c r="Q76" i="4"/>
  <c r="P76" i="4"/>
  <c r="O77" i="4"/>
  <c r="N77" i="4"/>
  <c r="M77" i="4"/>
  <c r="H77" i="4"/>
  <c r="S75" i="4"/>
  <c r="Q75" i="4"/>
  <c r="P75" i="4"/>
  <c r="S74" i="4"/>
  <c r="R74" i="4"/>
  <c r="Q74" i="4"/>
  <c r="P74" i="4"/>
  <c r="S73" i="4"/>
  <c r="R73" i="4"/>
  <c r="Q73" i="4"/>
  <c r="P73" i="4"/>
  <c r="S72" i="4"/>
  <c r="R72" i="4"/>
  <c r="Q72" i="4"/>
  <c r="P72" i="4"/>
  <c r="S71" i="4"/>
  <c r="R71" i="4"/>
  <c r="Q71" i="4"/>
  <c r="P71" i="4"/>
  <c r="S70" i="4"/>
  <c r="R70" i="4"/>
  <c r="Q70" i="4"/>
  <c r="P70" i="4"/>
  <c r="S69" i="4"/>
  <c r="R69" i="4"/>
  <c r="Q69" i="4"/>
  <c r="P69" i="4"/>
  <c r="S68" i="4"/>
  <c r="R68" i="4"/>
  <c r="Q68" i="4"/>
  <c r="P68" i="4"/>
  <c r="S67" i="4"/>
  <c r="R67" i="4"/>
  <c r="Q67" i="4"/>
  <c r="P67" i="4"/>
  <c r="S66" i="4"/>
  <c r="R66" i="4"/>
  <c r="Q66" i="4"/>
  <c r="P66" i="4"/>
  <c r="S65" i="4"/>
  <c r="R65" i="4"/>
  <c r="Q65" i="4"/>
  <c r="P65" i="4"/>
  <c r="S64" i="4"/>
  <c r="R64" i="4"/>
  <c r="Q64" i="4"/>
  <c r="P64" i="4"/>
  <c r="S63" i="4"/>
  <c r="R63" i="4"/>
  <c r="Q63" i="4"/>
  <c r="P63" i="4"/>
  <c r="S62" i="4"/>
  <c r="R62" i="4"/>
  <c r="Q62" i="4"/>
  <c r="P62" i="4"/>
  <c r="S61" i="4"/>
  <c r="R61" i="4"/>
  <c r="Q61" i="4"/>
  <c r="P61" i="4"/>
  <c r="S60" i="4"/>
  <c r="R60" i="4"/>
  <c r="Q60" i="4"/>
  <c r="P60" i="4"/>
  <c r="S59" i="4"/>
  <c r="R59" i="4"/>
  <c r="Q59" i="4"/>
  <c r="P59" i="4"/>
  <c r="S58" i="4"/>
  <c r="R58" i="4"/>
  <c r="Q58" i="4"/>
  <c r="P58" i="4"/>
  <c r="S57" i="4"/>
  <c r="R57" i="4"/>
  <c r="Q57" i="4"/>
  <c r="P57" i="4"/>
  <c r="S56" i="4"/>
  <c r="R56" i="4"/>
  <c r="Q56" i="4"/>
  <c r="P56" i="4"/>
  <c r="S55" i="4"/>
  <c r="R55" i="4"/>
  <c r="Q55" i="4"/>
  <c r="P55" i="4"/>
  <c r="S54" i="4"/>
  <c r="R54" i="4"/>
  <c r="Q54" i="4"/>
  <c r="P54" i="4"/>
  <c r="S53" i="4"/>
  <c r="R53" i="4"/>
  <c r="Q53" i="4"/>
  <c r="P53" i="4"/>
  <c r="S52" i="4"/>
  <c r="R52" i="4"/>
  <c r="Q52" i="4"/>
  <c r="P52" i="4"/>
  <c r="S51" i="4"/>
  <c r="R51" i="4"/>
  <c r="Q51" i="4"/>
  <c r="P51" i="4"/>
  <c r="S50" i="4"/>
  <c r="R50" i="4"/>
  <c r="Q50" i="4"/>
  <c r="P50" i="4"/>
  <c r="S49" i="4"/>
  <c r="R49" i="4"/>
  <c r="Q49" i="4"/>
  <c r="P49" i="4"/>
  <c r="S48" i="4"/>
  <c r="R48" i="4"/>
  <c r="Q48" i="4"/>
  <c r="P48" i="4"/>
  <c r="S47" i="4"/>
  <c r="R47" i="4"/>
  <c r="Q47" i="4"/>
  <c r="P47" i="4"/>
  <c r="S46" i="4"/>
  <c r="R46" i="4"/>
  <c r="Q46" i="4"/>
  <c r="P46" i="4"/>
  <c r="S45" i="4"/>
  <c r="R45" i="4"/>
  <c r="Q45" i="4"/>
  <c r="P45" i="4"/>
  <c r="S44" i="4"/>
  <c r="R44" i="4"/>
  <c r="Q44" i="4"/>
  <c r="P44" i="4"/>
  <c r="S43" i="4"/>
  <c r="R43" i="4"/>
  <c r="Q43" i="4"/>
  <c r="P43" i="4"/>
  <c r="S42" i="4"/>
  <c r="R42" i="4"/>
  <c r="Q42" i="4"/>
  <c r="P42" i="4"/>
  <c r="S41" i="4"/>
  <c r="R41" i="4"/>
  <c r="Q41" i="4"/>
  <c r="P41" i="4"/>
  <c r="S40" i="4"/>
  <c r="R40" i="4"/>
  <c r="Q40" i="4"/>
  <c r="P40" i="4"/>
  <c r="S39" i="4"/>
  <c r="R39" i="4"/>
  <c r="Q39" i="4"/>
  <c r="P39" i="4"/>
  <c r="S38" i="4"/>
  <c r="R38" i="4"/>
  <c r="Q38" i="4"/>
  <c r="P38" i="4"/>
  <c r="S37" i="4"/>
  <c r="R37" i="4"/>
  <c r="Q37" i="4"/>
  <c r="P37" i="4"/>
  <c r="S36" i="4"/>
  <c r="R36" i="4"/>
  <c r="Q36" i="4"/>
  <c r="P36" i="4"/>
  <c r="S35" i="4"/>
  <c r="R35" i="4"/>
  <c r="Q35" i="4"/>
  <c r="P35" i="4"/>
  <c r="S34" i="4"/>
  <c r="R34" i="4"/>
  <c r="Q34" i="4"/>
  <c r="P34" i="4"/>
  <c r="S33" i="4"/>
  <c r="R33" i="4"/>
  <c r="Q33" i="4"/>
  <c r="P33" i="4"/>
  <c r="S32" i="4"/>
  <c r="R32" i="4"/>
  <c r="Q32" i="4"/>
  <c r="P32" i="4"/>
  <c r="S31" i="4"/>
  <c r="R31" i="4"/>
  <c r="Q31" i="4"/>
  <c r="P31" i="4"/>
  <c r="S30" i="4"/>
  <c r="R30" i="4"/>
  <c r="Q30" i="4"/>
  <c r="P30" i="4"/>
  <c r="S29" i="4"/>
  <c r="R29" i="4"/>
  <c r="Q29" i="4"/>
  <c r="P29" i="4"/>
  <c r="S28" i="4"/>
  <c r="R28" i="4"/>
  <c r="Q28" i="4"/>
  <c r="P28" i="4"/>
  <c r="S27" i="4"/>
  <c r="R27" i="4"/>
  <c r="Q27" i="4"/>
  <c r="P27" i="4"/>
  <c r="S26" i="4"/>
  <c r="R26" i="4"/>
  <c r="Q26" i="4"/>
  <c r="P26" i="4"/>
  <c r="S25" i="4"/>
  <c r="R25" i="4"/>
  <c r="Q25" i="4"/>
  <c r="P25" i="4"/>
  <c r="S24" i="4"/>
  <c r="R24" i="4"/>
  <c r="Q24" i="4"/>
  <c r="P24" i="4"/>
  <c r="S23" i="4"/>
  <c r="R23" i="4"/>
  <c r="Q23" i="4"/>
  <c r="P23" i="4"/>
  <c r="S22" i="4"/>
  <c r="R22" i="4"/>
  <c r="Q22" i="4"/>
  <c r="P22" i="4"/>
  <c r="S21" i="4"/>
  <c r="R21" i="4"/>
  <c r="Q21" i="4"/>
  <c r="P21" i="4"/>
  <c r="S20" i="4"/>
  <c r="R20" i="4"/>
  <c r="Q20" i="4"/>
  <c r="P20" i="4"/>
  <c r="S19" i="4"/>
  <c r="R19" i="4"/>
  <c r="Q19" i="4"/>
  <c r="P19" i="4"/>
  <c r="S18" i="4"/>
  <c r="R18" i="4"/>
  <c r="Q18" i="4"/>
  <c r="P18" i="4"/>
  <c r="S17" i="4"/>
  <c r="R17" i="4"/>
  <c r="Q17" i="4"/>
  <c r="P17" i="4"/>
  <c r="S16" i="4"/>
  <c r="R16" i="4"/>
  <c r="Q16" i="4"/>
  <c r="P16" i="4"/>
  <c r="S15" i="4"/>
  <c r="R15" i="4"/>
  <c r="Q15" i="4"/>
  <c r="P15" i="4"/>
  <c r="S14" i="4"/>
  <c r="R14" i="4"/>
  <c r="Q14" i="4"/>
  <c r="P14" i="4"/>
  <c r="S13" i="4"/>
  <c r="R13" i="4"/>
  <c r="Q13" i="4"/>
  <c r="S12" i="4"/>
  <c r="R12" i="4"/>
  <c r="Q12" i="4"/>
  <c r="P12" i="4"/>
  <c r="S11" i="4"/>
  <c r="Q11" i="4"/>
  <c r="A37" i="12"/>
  <c r="A38" i="12"/>
  <c r="S77" i="4" l="1"/>
  <c r="Q77" i="4"/>
  <c r="Q6" i="4"/>
  <c r="R77" i="4"/>
  <c r="R6" i="4" s="1"/>
  <c r="T77" i="4"/>
  <c r="G6" i="4"/>
  <c r="U9" i="4" l="1"/>
  <c r="T6" i="4"/>
  <c r="T7" i="4" s="1"/>
  <c r="P11" i="4"/>
  <c r="P6" i="4" l="1"/>
  <c r="P77" i="4"/>
  <c r="A1" i="12" l="1"/>
  <c r="N7" i="4" l="1"/>
  <c r="M7" i="4"/>
  <c r="B5" i="12" l="1"/>
  <c r="A14" i="12"/>
  <c r="A13" i="12"/>
  <c r="A4" i="11" l="1"/>
  <c r="A7" i="9" l="1"/>
  <c r="A5" i="9" l="1"/>
  <c r="Z50" i="6" l="1"/>
  <c r="U7" i="4"/>
  <c r="Z108" i="6"/>
  <c r="A50" i="11" l="1"/>
  <c r="A43" i="11"/>
  <c r="A25" i="11"/>
  <c r="A2" i="11"/>
  <c r="A3" i="9"/>
  <c r="N6" i="4" l="1"/>
  <c r="M6" i="4" l="1"/>
  <c r="Q7" i="4" l="1"/>
  <c r="P7" i="4"/>
  <c r="U6" i="4" l="1"/>
</calcChain>
</file>

<file path=xl/comments1.xml><?xml version="1.0" encoding="utf-8"?>
<comments xmlns="http://schemas.openxmlformats.org/spreadsheetml/2006/main">
  <authors>
    <author>Harry Hotchkiss</author>
  </authors>
  <commentList>
    <comment ref="B12" authorId="0" shapeId="0">
      <text>
        <r>
          <rPr>
            <sz val="9"/>
            <color indexed="81"/>
            <rFont val="Tahoma"/>
            <family val="2"/>
          </rPr>
          <t>ASA's must have a minimum of three years of responsible actuarial experience in the area of actuarial practice relevant to the subject of the SAO. This expereince must be under the review of an actuary who was qualified to issue the SAO at the time the review took place under standards in effect at that time.</t>
        </r>
      </text>
    </comment>
    <comment ref="B15" authorId="0" shapeId="0">
      <text>
        <r>
          <rPr>
            <sz val="9"/>
            <color indexed="81"/>
            <rFont val="Tahoma"/>
            <family val="2"/>
          </rPr>
          <t xml:space="preserve">To satisfy the General Qualification Standard:
Before issuing a Statement of Actuarial Opinion, an actuary must have three years of responsible actuarial experience.
This is defined as work that requires knowledge and skill in solving actuarial problems.
</t>
        </r>
      </text>
    </comment>
  </commentList>
</comments>
</file>

<file path=xl/comments2.xml><?xml version="1.0" encoding="utf-8"?>
<comments xmlns="http://schemas.openxmlformats.org/spreadsheetml/2006/main">
  <authors>
    <author>Alex Hutchison</author>
    <author>Harry Hotchkiss</author>
  </authors>
  <commentList>
    <comment ref="P1" authorId="0" shapeId="0">
      <text>
        <r>
          <rPr>
            <sz val="9"/>
            <color indexed="81"/>
            <rFont val="Tahoma"/>
            <family val="2"/>
          </rPr>
          <t xml:space="preserve">Specific Qualification only applies to the Appointed Actuary and members of that team.
To satisfy the Specific Qualification Standards, an actuary must obtain sufficient continuing education to maintain current knowledge of applicable standards and principles in the area of actuarial practice of the Statement of Actuarial Opinion.  At a minimum, an actuary must complete 15 credit hours per calendar year of continuing education that is directly relevant to the topics identified in Section 3.1.1.  A minimum of 6 of the 15 hours must be obtained through experience that involves interactions with outside actuaries or other professionals, such as seminars, in-person or online courses, or committee work that is directly relevant to the topics identified in Section 3.1.1.  Hours that satisfy the continuing education requirement of the Specific Qualification Standards may also be used to satisfy the continuing education requirement of the General Qualification Standards.  Hours of continuing education in excess of the annual requirement may be carried forward one year.
</t>
        </r>
      </text>
    </comment>
    <comment ref="H10" authorId="1" shapeId="0">
      <text>
        <r>
          <rPr>
            <sz val="9"/>
            <color indexed="81"/>
            <rFont val="Tahoma"/>
            <family val="2"/>
          </rPr>
          <t xml:space="preserve">Enter actual minutes.  
</t>
        </r>
        <r>
          <rPr>
            <b/>
            <sz val="9"/>
            <color indexed="81"/>
            <rFont val="Tahoma"/>
            <family val="2"/>
          </rPr>
          <t>Do not multiply by 1.2.</t>
        </r>
        <r>
          <rPr>
            <sz val="9"/>
            <color indexed="81"/>
            <rFont val="Tahoma"/>
            <family val="2"/>
          </rPr>
          <t xml:space="preserve">
</t>
        </r>
      </text>
    </comment>
    <comment ref="I10" authorId="1" shapeId="0">
      <text>
        <r>
          <rPr>
            <sz val="9"/>
            <color indexed="81"/>
            <rFont val="Tahoma"/>
            <family val="2"/>
          </rPr>
          <t xml:space="preserve">Continuing education can be obtained through either "organized activities" that involve interaction with actuaries or other professionals working for different organizations or "other activities".
</t>
        </r>
        <r>
          <rPr>
            <sz val="9"/>
            <color indexed="39"/>
            <rFont val="Tahoma"/>
            <family val="2"/>
          </rPr>
          <t xml:space="preserve">
"Organized activities"</t>
        </r>
        <r>
          <rPr>
            <sz val="9"/>
            <color indexed="81"/>
            <rFont val="Tahoma"/>
            <family val="2"/>
          </rPr>
          <t xml:space="preserve"> include, but are not limited to, conferences, seminars, websites, in-person or online courses, or committee work that is directly relevant to the area of practice of the subject of the Statement of Actuarial Opinion.  In-house meetings can satisfy the requirement of interaction with actuaries or professionals working for different organizations by using outside speakers.
Organized activities </t>
        </r>
        <r>
          <rPr>
            <sz val="9"/>
            <color indexed="39"/>
            <rFont val="Tahoma"/>
            <family val="2"/>
          </rPr>
          <t>can apply to Professionalism and General Business Courses</t>
        </r>
        <r>
          <rPr>
            <sz val="9"/>
            <color indexed="81"/>
            <rFont val="Tahoma"/>
            <family val="2"/>
          </rPr>
          <t>, in addition to Discipline Relevant and Specific Qualification events.</t>
        </r>
      </text>
    </comment>
    <comment ref="J10" authorId="1" shapeId="0">
      <text>
        <r>
          <rPr>
            <sz val="9"/>
            <color indexed="81"/>
            <rFont val="Tahoma"/>
            <family val="2"/>
          </rPr>
          <t xml:space="preserve">The USQS provides examples of professionalism that include activities involving the Code of Professional Conduct, qualifications, and actuarial standards of practice (ASOPs). The Committee on Qualifications encourages actuaries to obtain at least some of their professionalism hours by reviewing the Code of Professional Conduct, ASOPs, and USQS.
The Committee on Qualifications encourages actuaries to obtain at least some of their professionalism hours by reviewing the Code of Professional Conduct, ASOPs, and the USQS annually (Section 2.2.7). Keep in mind that topics that improve one’s “professionalism” such as communication skills or presentation skills, while useful, do not constitute professionalism under the USQS, although they may count as general business skills, which are capped at 3 CE hours annually.
Professionalism CE involves such topics as actuarial discipline, actuarial communication, the Code of Professional Conduct, actuarial standards of practice (ASOPs), and qualification standards. Such CE includes, but is not limited to, studying, reviewing, or commenting on an ASOP or an ASOP exposure draft; studying or reviewing the Code of Professional Conduct; and serving on any professionalism board or committee, such as the Actuarial Standards Board, the Actuarial Board for Counseling and Discipline, the Committee on Qualifications, the Life and Health Qualifications Seminar Committee, or any number of other professionalism committees to which actuaries volunteer their time and resources. In addition, reviewing topics that involve business ethics similar to conflict of interest or similar principles may count toward professionalism CE. </t>
        </r>
      </text>
    </comment>
    <comment ref="K10" authorId="1" shapeId="0">
      <text>
        <r>
          <rPr>
            <sz val="9"/>
            <color indexed="81"/>
            <rFont val="Tahoma"/>
            <family val="2"/>
          </rPr>
          <t xml:space="preserve">Examples of </t>
        </r>
        <r>
          <rPr>
            <b/>
            <sz val="9"/>
            <color indexed="81"/>
            <rFont val="Tahoma"/>
            <family val="2"/>
          </rPr>
          <t>general business courses and educational materials</t>
        </r>
        <r>
          <rPr>
            <sz val="9"/>
            <color indexed="81"/>
            <rFont val="Tahoma"/>
            <family val="2"/>
          </rPr>
          <t xml:space="preserve"> include, but are not limited to: 
o client relationship management
o presentation skills
o communication skills
o project management
o personnel management</t>
        </r>
      </text>
    </comment>
    <comment ref="L10" authorId="1" shapeId="0">
      <text>
        <r>
          <rPr>
            <sz val="9"/>
            <color indexed="81"/>
            <rFont val="Tahoma"/>
            <family val="2"/>
          </rPr>
          <t xml:space="preserve">Continuing education is </t>
        </r>
        <r>
          <rPr>
            <b/>
            <sz val="9"/>
            <color indexed="81"/>
            <rFont val="Tahoma"/>
            <family val="2"/>
          </rPr>
          <t>Discipline Relevant</t>
        </r>
        <r>
          <rPr>
            <sz val="9"/>
            <color indexed="81"/>
            <rFont val="Tahoma"/>
            <family val="2"/>
          </rPr>
          <t xml:space="preserve"> if it satisfies </t>
        </r>
        <r>
          <rPr>
            <b/>
            <sz val="9"/>
            <color indexed="81"/>
            <rFont val="Tahoma"/>
            <family val="2"/>
          </rPr>
          <t>one</t>
        </r>
        <r>
          <rPr>
            <sz val="9"/>
            <color indexed="81"/>
            <rFont val="Tahoma"/>
            <family val="2"/>
          </rPr>
          <t xml:space="preserve"> of the following: 
(1) it broadens or deepens an actuary's understanding of one or more aspects of work an actuary does; 
(2) the material expands an actuary's knowledge of practice in related disciplines that bear directly on an actuary's work; 
(3) it facilitates an actuary's entry into a new area of practice.  
Ultimately, it is an actuary's responsibility to make a reasonable, good-faith determination of what continuing education opportunities will enhance an actuary's ability to practice in a desired field.</t>
        </r>
      </text>
    </comment>
    <comment ref="U10" authorId="0" shapeId="0">
      <text>
        <r>
          <rPr>
            <b/>
            <sz val="9"/>
            <color indexed="81"/>
            <rFont val="Tahoma"/>
            <family val="2"/>
          </rPr>
          <t xml:space="preserve">CE Activity Title/Description
</t>
        </r>
        <r>
          <rPr>
            <sz val="9"/>
            <color indexed="81"/>
            <rFont val="Tahoma"/>
            <family val="2"/>
          </rPr>
          <t xml:space="preserve">Use this field for the title of the CE activity. 
e.g. "SOA Webinar: Understanding Medicare Pricing:
Or, for self study, a brief description of the activity. 
e.g. "self-study of ASOPs 23 and 41" or "study for exam STAM"
</t>
        </r>
      </text>
    </comment>
  </commentList>
</comments>
</file>

<file path=xl/sharedStrings.xml><?xml version="1.0" encoding="utf-8"?>
<sst xmlns="http://schemas.openxmlformats.org/spreadsheetml/2006/main" count="669" uniqueCount="281">
  <si>
    <t>Date</t>
  </si>
  <si>
    <t>Total</t>
  </si>
  <si>
    <t>Organized Activity</t>
  </si>
  <si>
    <t>≤3</t>
  </si>
  <si>
    <t>Instructions</t>
  </si>
  <si>
    <t>Required Annually</t>
  </si>
  <si>
    <t>Part 1: General Qualification Standards</t>
  </si>
  <si>
    <t>1) Basic education and experience, General Qualification Standard</t>
  </si>
  <si>
    <t>Yes</t>
  </si>
  <si>
    <t>No</t>
  </si>
  <si>
    <t>Specialty Tracks include</t>
  </si>
  <si>
    <t>Corporate Finance and ERM Track</t>
  </si>
  <si>
    <t>2)  Basic education and experience, additional rule for opinions in an area covered by specialty tracks</t>
  </si>
  <si>
    <t>General Insurance Track</t>
  </si>
  <si>
    <t>Group and Health Track - most common track taken by Humana's credentialed actuaries</t>
  </si>
  <si>
    <t>Individual Life and Annuities Track</t>
  </si>
  <si>
    <t>Quantitative Finance and Investment Track</t>
  </si>
  <si>
    <t>Retirement Benefits Track</t>
  </si>
  <si>
    <t>"highest designation" implies FSA; "specialty track" implies Group and Health Track</t>
  </si>
  <si>
    <t>"highest designation" implies FSA; "another track" implies all tracks except Group and Health Track</t>
  </si>
  <si>
    <t>this third method applies to ASAs</t>
  </si>
  <si>
    <t>3) Continuing education</t>
  </si>
  <si>
    <t>4) Continuing education, documentation</t>
  </si>
  <si>
    <t>The Qualification Standards require documentation of your continuing education activities.</t>
  </si>
  <si>
    <t xml:space="preserve">Supporting documentation for your credits listed in (3) above. Note, in most cases, this support will be comprised of a list of the credits you have maintained on your own documentation of your continuing education activities. </t>
  </si>
  <si>
    <t>I have completed Humana's tracking report which documents my continuing education credits.</t>
  </si>
  <si>
    <t>Part 2: Specific Qualification Standards</t>
  </si>
  <si>
    <t>5) Basic education and experience, Specific Qualification Standards</t>
  </si>
  <si>
    <t xml:space="preserve">Please indicate which of the additional specific requirements below you have satisfied. </t>
  </si>
  <si>
    <t>Alternative basic education, Specific Qualification Standards</t>
  </si>
  <si>
    <t>If none of the above examination criteria have been satisfied, can you attest that</t>
  </si>
  <si>
    <t>6) Experience requirement, Specific Qualification Standards</t>
  </si>
  <si>
    <t>7) Continuing education requirement, Specific Qualifications Standards</t>
  </si>
  <si>
    <r>
      <t xml:space="preserve">To satisfy the Specific Qualification Standards, actuaries need 15 hours of continuing education per calendar year that is directly relevant to the topics in the NAIC Annual Statement related to the examinations completed in (5) above. Please indicate if you satisfy </t>
    </r>
    <r>
      <rPr>
        <u/>
        <sz val="10"/>
        <rFont val="Arial"/>
        <family val="2"/>
      </rPr>
      <t>each</t>
    </r>
    <r>
      <rPr>
        <sz val="10"/>
        <rFont val="Arial"/>
        <family val="2"/>
      </rPr>
      <t xml:space="preserve"> of the following criteria:</t>
    </r>
  </si>
  <si>
    <t>8) Continuing education, documentation, Specific Qualification Standards</t>
  </si>
  <si>
    <t>The Specific Qualification Standards require documentation of your continuing education activities.</t>
  </si>
  <si>
    <t>Supporting documentation for your credits listed in (7) above. Note, in most cases, this support will be comprised of a list of the credits you have maintained on your own documentation of your continuing education activities.</t>
  </si>
  <si>
    <t xml:space="preserve">   Yes</t>
  </si>
  <si>
    <t>9) Attestation</t>
  </si>
  <si>
    <r>
      <t>I have completed all the sections above and attest that I meet the requirements in the US Qualification Standards</t>
    </r>
    <r>
      <rPr>
        <sz val="10"/>
        <rFont val="Arial"/>
        <family val="2"/>
      </rPr>
      <t>.</t>
    </r>
  </si>
  <si>
    <t>If you are unable to attest because you do not satisfy all of the above listed requirements, but believe you are qualified to issue NAIC Annual Statement SAOs, please document your reasoning in an attachment.</t>
  </si>
  <si>
    <t>Appendix to Attestation</t>
  </si>
  <si>
    <t>Definitions</t>
  </si>
  <si>
    <t>The following information from the US Qualification Standards is provided for your convenience.</t>
  </si>
  <si>
    <t>Continuing education is “relevant” if: (1) it broadens or deepens an actuary’s understanding of one or more aspects of the work an actuary does; (2) the material expands an actuary’s knowledge of practice in related disciplines that bear directly on an actuary’s work; or (3) it facilitates an actuary’s entry into a new area of practice.</t>
  </si>
  <si>
    <t>Examples of professionalism topics include, but are not limited to, studying, reviewing, or providing input on an Exposure Draft of an ASOP; studying or reviewing the Code of Professional Conduct; and serving on the ASB or a professionalism committee.</t>
  </si>
  <si>
    <t>“Organized activities” involve interaction with actuaries or other professionals working for different organizations and include, but are not limited to, conferences, seminars, webcasts, in-person or online courses, or committee work that is directly relevant to the area of practice of the subject of the SAO.</t>
  </si>
  <si>
    <t>Examples of business and consulting skills topics include, but are not limited to, client relationship management, presentation skills, communication skills, project management, and personnel management.</t>
  </si>
  <si>
    <t>"Law" is defined as statutes, regulations, judicial decisions, and other statements having legally binding authority.</t>
  </si>
  <si>
    <t>Examination Topics, Specific Qualification Standards</t>
  </si>
  <si>
    <t>*</t>
  </si>
  <si>
    <t>NAIC Life and A&amp;H Annual Statement examination topics: (a) policy forms and coverages, (b) dividends and reinsurance, (c) investments and valuations of assets and the relationship between cash flows from assets and related liabilities, (d) statutory insurance accounting, (e) valuation of liabilities, and (f) valuation and nonforfeiture laws.</t>
  </si>
  <si>
    <t>**</t>
  </si>
  <si>
    <t>NAIC Property and Casualty Annual Statement examination topics: (a) policy forms and coverages,  underwriting, and marketing; (b) principles of ratemaking; (c) statutory insurance accounting and expense analysis; (d) premium, loss, and expense reserves; and (e) reinsurance.</t>
  </si>
  <si>
    <t>***</t>
  </si>
  <si>
    <t>NAIC Health Annual Statement examination topics: (a) principles of insurance and underwriting; (b) principles of ratemaking; (c) statutory insurance accounting and expense analysis; (d) premium, loss, expense, and contingency reserves; and (e) social insurance.</t>
  </si>
  <si>
    <t>U.S. Qualification Standards Attestation</t>
  </si>
  <si>
    <t>The purpose of this form is to aid actuaries' understanding of the "Qualification Standards for Actuaries Issuing Statements of Actuarial Opinion in the United States" (promulgated by the American Academy of Actuaries, effective January 1, 2008) and to provide a means to attest how these standards are satisfied. Complete the following to demonstrate how you are qualified to issue Statements of Actuarial Opinion (SAOs) in your area of expertise.</t>
  </si>
  <si>
    <t>Only those who can issue SAO need to sign and date this form.</t>
  </si>
  <si>
    <t>Drop Down Ranges</t>
  </si>
  <si>
    <t>pre-ASA</t>
  </si>
  <si>
    <t>ASA</t>
  </si>
  <si>
    <t>FSA</t>
  </si>
  <si>
    <t>MAAA</t>
  </si>
  <si>
    <t>not MAAA</t>
  </si>
  <si>
    <t>Less than 3 Years</t>
  </si>
  <si>
    <t>3 or more Years</t>
  </si>
  <si>
    <t>Department:</t>
  </si>
  <si>
    <t>Manager's Name:</t>
  </si>
  <si>
    <t>Is your manager a credentialed actuary?:</t>
  </si>
  <si>
    <t>Harry Hotchkiss</t>
  </si>
  <si>
    <t>AAA Designation:</t>
  </si>
  <si>
    <t>ACAS</t>
  </si>
  <si>
    <t>FCAS</t>
  </si>
  <si>
    <t>Links:</t>
  </si>
  <si>
    <t>U.S. Qualification Standards</t>
  </si>
  <si>
    <t>Code of Professional Conduct</t>
  </si>
  <si>
    <t>Actuarial Standards of Practice (ASOPs)</t>
  </si>
  <si>
    <t>Education Requirements for Actuaries - Powerpoint training from April 2014</t>
  </si>
  <si>
    <t>APDP - Credentialed Central</t>
  </si>
  <si>
    <t>No specific guidance.</t>
  </si>
  <si>
    <t>2) Basic education and experience, additional rule for opinions in an area covered by specialty tracks</t>
  </si>
  <si>
    <t>For the first option, "highest designation" implies FSA; "specialty track" implies Group and Health Track.</t>
  </si>
  <si>
    <t>For the second option, "highest designation" implies FSA; "another track" implies all tracks except Group and Health Track.</t>
  </si>
  <si>
    <t>Specialty Tracks include:</t>
  </si>
  <si>
    <t>The third option applies to ASAs.</t>
  </si>
  <si>
    <t>See Appendix below</t>
  </si>
  <si>
    <t>Skip questions 5 through 8 and go to the "9) Attestation" section below if Part 2 does not apply to you.</t>
  </si>
  <si>
    <t>Only those qualified to issue NAIC Annual Statement SAOs need to complete row 99.</t>
  </si>
  <si>
    <t>Appendix</t>
  </si>
  <si>
    <t>The following information from the U.S. Qualification Standards is provided for your convenience.</t>
  </si>
  <si>
    <t>Continuing education is “relevant” if: 
(1) it broadens or deepens an actuary’s understanding of one or more aspects of the work an actuary does; 
(2) the material expands an actuary’s knowledge of practice in related disciplines that bear directly on an actuary’s work; or 
(3) it facilitates an actuary’s entry into a new area of practice.</t>
  </si>
  <si>
    <t>Examples of business and consulting skills topics include, but are not limited to:
(1) client relationship management, 
(2) presentation skills, 
(3) communication skills, 
(4) project management, and 
(5) personnel management.</t>
  </si>
  <si>
    <t>Deadline for all to submit their tracking report, including their attestation form, to their Reviewer</t>
  </si>
  <si>
    <r>
      <t>“Organized activities” involve</t>
    </r>
    <r>
      <rPr>
        <b/>
        <sz val="10"/>
        <rFont val="Arial"/>
        <family val="2"/>
      </rPr>
      <t xml:space="preserve"> </t>
    </r>
    <r>
      <rPr>
        <b/>
        <sz val="10"/>
        <color rgb="FF0000FF"/>
        <rFont val="Arial"/>
        <family val="2"/>
      </rPr>
      <t>live</t>
    </r>
    <r>
      <rPr>
        <sz val="10"/>
        <color rgb="FF0000FF"/>
        <rFont val="Arial"/>
        <family val="2"/>
      </rPr>
      <t xml:space="preserve"> </t>
    </r>
    <r>
      <rPr>
        <sz val="10"/>
        <rFont val="Arial"/>
        <family val="2"/>
      </rPr>
      <t>interaction with actuaries or other professionals working for different organizations and include, but are not limited to:
(1) conferences, 
(2) seminars, 
(3) webcasts, 
(4) in-person or online courses, or 
(5) committee work that is directly relevant to the area of practice of the subject of the SAO.</t>
    </r>
  </si>
  <si>
    <t>Continuous Education_April 2014.pptx</t>
  </si>
  <si>
    <t>Credentialed Central - All Documents</t>
  </si>
  <si>
    <t>http://www.actuarialstandardsboard.org/standards-of-practice/</t>
  </si>
  <si>
    <t>http://www.actuarialstandardsboard.org/code-professional-conduct/</t>
  </si>
  <si>
    <t>Deadline for Reviewer to approve all tracking reports (requires timely responses by reviewees)</t>
  </si>
  <si>
    <t>http://www.actuary.org/professionalism/faqs-revised-qualification-standards</t>
  </si>
  <si>
    <t>http://actuary.org/files/imce/qualification_standards.pdf</t>
  </si>
  <si>
    <t>U.S. Qualification Standards Attestation Form (AAA website)</t>
  </si>
  <si>
    <t>http://attest.actuary.org/</t>
  </si>
  <si>
    <t xml:space="preserve">Examples of professionalism topics include, but are not limited to:
(1) studying, reviewing, or providing input on an Exposure Draft of an ASOP; 
(2) studying or reviewing the Code of Professional Conduct;  and
(3) serving on the ASB or a professionalism committee.
If you are very familiar with the required ASOPs, consider obtaining these credits a different way (e.g. webcasts, articles, course, etc.) </t>
  </si>
  <si>
    <t>Penny Hahn</t>
  </si>
  <si>
    <t>Organized</t>
  </si>
  <si>
    <t>LAH</t>
  </si>
  <si>
    <t>Health</t>
  </si>
  <si>
    <t>Needed</t>
  </si>
  <si>
    <t>(a) policy forms and coverages</t>
  </si>
  <si>
    <t>(a) principles of insurance and underwriting</t>
  </si>
  <si>
    <t>(b) dividends and reinsurance</t>
  </si>
  <si>
    <t>(b) principles of ratemaking</t>
  </si>
  <si>
    <t>(c) investments and valuations of assets and the relationship between cash flows from assets and related liabilities</t>
  </si>
  <si>
    <t>(c) statutory insurance accounting and expense analysis</t>
  </si>
  <si>
    <t>(d) statutory insurance accounting</t>
  </si>
  <si>
    <t>(d) premium, loss, expense, and contingency reserves</t>
  </si>
  <si>
    <t>(e) valuation of liabilities</t>
  </si>
  <si>
    <t>(e) social insurance.</t>
  </si>
  <si>
    <t>(f) valuation and nonforfeiture laws</t>
  </si>
  <si>
    <t>LAH Specific Credit Topics</t>
  </si>
  <si>
    <t>Health Specific Credit Topics</t>
  </si>
  <si>
    <t>Specific Qualification Standards only applies to some of the credentialed actuaries working for Humana's Appointed Actuary and team.</t>
  </si>
  <si>
    <t>Deadline for Humana credentialed actuaries to attest on the SoA's website and AAA's website.</t>
  </si>
  <si>
    <t>Guidance</t>
  </si>
  <si>
    <t>Craig Campbell</t>
  </si>
  <si>
    <t>Mike Lipsey</t>
  </si>
  <si>
    <t>Tristan Campbell</t>
  </si>
  <si>
    <t>Years of actuarial work experience you have in health track</t>
  </si>
  <si>
    <t>FAQs on the U.S. Qualification Standards (last updated July 2018)</t>
  </si>
  <si>
    <t>Continuing Education FAQs March 2018.docx</t>
  </si>
  <si>
    <t>Caleb Brown</t>
  </si>
  <si>
    <t>Joe Liss</t>
  </si>
  <si>
    <t>Cody Baetz</t>
  </si>
  <si>
    <t>Russ Gallagher</t>
  </si>
  <si>
    <t>Name</t>
  </si>
  <si>
    <t>AAA</t>
  </si>
  <si>
    <t>Presenter(s)</t>
  </si>
  <si>
    <t>Carryover Instructions</t>
  </si>
  <si>
    <t>Tracking Year:</t>
  </si>
  <si>
    <t>Attestation Year:</t>
  </si>
  <si>
    <t>-</t>
  </si>
  <si>
    <t>Activity Type</t>
  </si>
  <si>
    <t>Live Event</t>
  </si>
  <si>
    <t>Self Study</t>
  </si>
  <si>
    <t>Other</t>
  </si>
  <si>
    <t>CE Activity Title/Description</t>
  </si>
  <si>
    <t>SOA/CAS</t>
  </si>
  <si>
    <t>SOA/CAS Designation:</t>
  </si>
  <si>
    <t>Years Experience</t>
  </si>
  <si>
    <t>CE Reviewers</t>
  </si>
  <si>
    <t>General Business Courses</t>
  </si>
  <si>
    <t>Discipline Relevant</t>
  </si>
  <si>
    <t>Live Webinar</t>
  </si>
  <si>
    <t>Recorded Webinar</t>
  </si>
  <si>
    <t>Recorded Event</t>
  </si>
  <si>
    <t>Gen. Business</t>
  </si>
  <si>
    <t>Length (Minutes)</t>
  </si>
  <si>
    <t>FIRST LAST</t>
  </si>
  <si>
    <t>Docs</t>
  </si>
  <si>
    <t>Profession- alism</t>
  </si>
  <si>
    <t>Enter the date of the CE Activity</t>
  </si>
  <si>
    <t>Use one row per CE activity/session. If multiple sessions are attended on the same day of a larger activity (e,g,. SOA Health Meeting) each session should be entered in its own line.</t>
  </si>
  <si>
    <t>Health Specific Qualifications</t>
  </si>
  <si>
    <t>LAH 
Specific Qualifications</t>
  </si>
  <si>
    <t>Use an "x" to indicate that the activity is discipline relevant See comments in cell K10 for a definition of discipline relelvant.</t>
  </si>
  <si>
    <t>Use an "x" to indicate that the activity is discipline relevant See comments in cell J10 for a definition of discipline relelvant.</t>
  </si>
  <si>
    <t>Use an "x" to indicate that the activity is oragnized. See comments in cell H10 for a definition of organized.</t>
  </si>
  <si>
    <t>Use an "x" to indicate that the activity is professionalism See comments in cell 107 for a definition of professionalism.</t>
  </si>
  <si>
    <t>The sponsoring organization of the CE acitivty. This would include the SOA, AAA or Humana. Or for self-study, the publisher of the material or sponsor of the exam.</t>
  </si>
  <si>
    <t>For webinars or live session, enter the presenter here. For self-study this field can be left blank or use "NA"</t>
  </si>
  <si>
    <t>Use the dropdown in column U to indicate the activity type.</t>
  </si>
  <si>
    <t>Use this field for the title or description of the activity. Example and more details are provided in cell T10.</t>
  </si>
  <si>
    <t xml:space="preserve">Organized?
</t>
  </si>
  <si>
    <t xml:space="preserve">Length (Minutes)
</t>
  </si>
  <si>
    <t xml:space="preserve">Professionalism
</t>
  </si>
  <si>
    <t xml:space="preserve">Discipline Relevant
</t>
  </si>
  <si>
    <t xml:space="preserve">General Business Courses
</t>
  </si>
  <si>
    <t xml:space="preserve">CE Activity Title/Description
</t>
  </si>
  <si>
    <t xml:space="preserve">Activity Type
</t>
  </si>
  <si>
    <t xml:space="preserve">Presenter(s)
</t>
  </si>
  <si>
    <t xml:space="preserve">Notes/Overview
</t>
  </si>
  <si>
    <t xml:space="preserve">Sponsoring Org
</t>
  </si>
  <si>
    <t>Sponsoring Org
 (SOA, AAA, etc.)</t>
  </si>
  <si>
    <t xml:space="preserve">    ↑ Ungroup for Specific Qualifications for Appointed Actuary and Team.</t>
  </si>
  <si>
    <r>
      <t>&gt;</t>
    </r>
    <r>
      <rPr>
        <b/>
        <sz val="10"/>
        <rFont val="Calibri"/>
        <family val="2"/>
        <scheme val="minor"/>
      </rPr>
      <t>6</t>
    </r>
  </si>
  <si>
    <r>
      <t>&gt;</t>
    </r>
    <r>
      <rPr>
        <b/>
        <sz val="10"/>
        <rFont val="Calibri"/>
        <family val="2"/>
        <scheme val="minor"/>
      </rPr>
      <t>3</t>
    </r>
  </si>
  <si>
    <t>Profession- alism_</t>
  </si>
  <si>
    <t>Organized Activity_</t>
  </si>
  <si>
    <t>General Business_</t>
  </si>
  <si>
    <t>Discipline Relevant_</t>
  </si>
  <si>
    <t>Organized
Activity</t>
  </si>
  <si>
    <t>Actuaries in the office of the appointed actuary:
Ungroup columns L:N using the + button above column O. Document Specific Qualifications CE in columns L:N.</t>
  </si>
  <si>
    <t>Details</t>
  </si>
  <si>
    <t>Column:</t>
  </si>
  <si>
    <t>Worksheet Documentation</t>
  </si>
  <si>
    <t>Enter the length of the activity or study in minutes. Do not multiply by 1.2. The workbook will convert this length to credits earned.</t>
  </si>
  <si>
    <t>Save the file using the file name above</t>
  </si>
  <si>
    <t>Overview</t>
  </si>
  <si>
    <t>Check appropriate boxes and sign and date the 'Attestation Form' worksheet before submitting</t>
  </si>
  <si>
    <t>If extra credits are earned in a calendar year, the AAA allows carryover of any surplus credits to the following year. Use the following steps if credits are being carried over.</t>
  </si>
  <si>
    <t xml:space="preserve">1. Remove credits that are being carried over from the prior year's tracking file. </t>
  </si>
  <si>
    <t>4. Ensure that the prior year's tracker is still compliant.</t>
  </si>
  <si>
    <t>First Name:</t>
  </si>
  <si>
    <t>Last Name</t>
  </si>
  <si>
    <r>
      <t xml:space="preserve">Please complete all </t>
    </r>
    <r>
      <rPr>
        <b/>
        <u/>
        <sz val="10"/>
        <color rgb="FF0000FF"/>
        <rFont val="Calibri"/>
        <family val="2"/>
        <scheme val="minor"/>
      </rPr>
      <t>Blue</t>
    </r>
    <r>
      <rPr>
        <u/>
        <sz val="10"/>
        <rFont val="Calibri"/>
        <family val="2"/>
        <scheme val="minor"/>
      </rPr>
      <t xml:space="preserve"> fields below</t>
    </r>
  </si>
  <si>
    <r>
      <t xml:space="preserve">Cells with </t>
    </r>
    <r>
      <rPr>
        <b/>
        <sz val="10"/>
        <color theme="1" tint="0.499984740745262"/>
        <rFont val="Calibri"/>
        <family val="2"/>
        <scheme val="minor"/>
      </rPr>
      <t>Gray Text</t>
    </r>
    <r>
      <rPr>
        <sz val="10"/>
        <rFont val="Calibri"/>
        <family val="2"/>
        <scheme val="minor"/>
      </rPr>
      <t xml:space="preserve"> are formulas and should not be updated</t>
    </r>
  </si>
  <si>
    <r>
      <t xml:space="preserve">If hours are being carried over from the prior year, see </t>
    </r>
    <r>
      <rPr>
        <b/>
        <sz val="10"/>
        <rFont val="Calibri"/>
        <family val="2"/>
        <scheme val="minor"/>
      </rPr>
      <t>Carryover Instructions</t>
    </r>
    <r>
      <rPr>
        <sz val="10"/>
        <rFont val="Calibri"/>
        <family val="2"/>
        <scheme val="minor"/>
      </rPr>
      <t xml:space="preserve"> below</t>
    </r>
  </si>
  <si>
    <r>
      <t xml:space="preserve">Incidental learning acquired largely in the context of fulfilling the actuary’s day-to-day responsibilities (i.e., learning that is acquired without the specific allocation of time and the expectation in advance to produce new learning) would not satisfy the requirements of the USQS for “Relevant Continuing Education.” </t>
    </r>
    <r>
      <rPr>
        <vertAlign val="superscript"/>
        <sz val="10"/>
        <rFont val="Calibri"/>
        <family val="2"/>
        <scheme val="minor"/>
      </rPr>
      <t>(AAA USQS FAQ #33)</t>
    </r>
  </si>
  <si>
    <t xml:space="preserve">Credentialed actuaries are required to earn 30 credits of Continuing Education (CE) annually and to attest to the Society of Actuaries (SOA) and American Academy of Actuiaries (AAA) annually that these CE credits were earned. </t>
  </si>
  <si>
    <r>
      <t>Continuing Education is learning that is acquired during time that was specifically allocated by the actuary and expected in advance by the actuary to be "Relevant Continuing Education" as defined in USQS 2.2.7</t>
    </r>
    <r>
      <rPr>
        <vertAlign val="superscript"/>
        <sz val="10"/>
        <rFont val="Calibri"/>
        <family val="2"/>
        <scheme val="minor"/>
      </rPr>
      <t xml:space="preserve"> (AAA USQS FAQ #33)</t>
    </r>
  </si>
  <si>
    <t xml:space="preserve">USQS 2.2.7  — Continuing education is “relevant” if: (1) it broadens or deepens an actuary’s understanding of one or more aspects of the work an actuary does; (2) the material expands an actuary’s knowledge of practice in related disciplines that bear directly on an actuary’s work; or (3) it facilitates an actuary’s entry into a new area of practice. </t>
  </si>
  <si>
    <t xml:space="preserve">Ultimately, it is an actuary’s responsibility to make a reasonable, good-faith determination of what continuing education opportunities will enhance anactuary’s ability to practice in a desired field. </t>
  </si>
  <si>
    <t>2021 CE tracker for 2022 attestation - Alex Hutchison.xlsm</t>
  </si>
  <si>
    <t>For carry over instructions - see instructions below</t>
  </si>
  <si>
    <t>The time the actuary sets aside to learn before performing an assignment can count as CE, but performing the assignment, including attending business meetings, would not count as CE. Given this, attending company strategy sessions would likely not be CE.</t>
  </si>
  <si>
    <t>All credentialed actuaries and soon to be ASAs at Humana are required to use this tracking document and submit to their assigned CE reviewer by 11/1 annually.</t>
  </si>
  <si>
    <t>FIRST</t>
  </si>
  <si>
    <t>LAST</t>
  </si>
  <si>
    <t>Notes/Overview (optional but recommended)</t>
  </si>
  <si>
    <t>Humana Continuing Education FAQs (March 2018)</t>
  </si>
  <si>
    <t>Annual Attestation Schedule</t>
  </si>
  <si>
    <t>If you are using this worksheet to carry forward hours from the prior year, copy/paste that tracker data into this worksheet.</t>
  </si>
  <si>
    <t>Eric Hyland</t>
  </si>
  <si>
    <t>John Jackson</t>
  </si>
  <si>
    <t>Liz Horstmeier</t>
  </si>
  <si>
    <t>Laura Youngquist</t>
  </si>
  <si>
    <t>Michael Taylor</t>
  </si>
  <si>
    <t>Drew Besendorf</t>
  </si>
  <si>
    <t>Alex Hutchison</t>
  </si>
  <si>
    <t>-----</t>
  </si>
  <si>
    <t>Populate I:L with blank ("") or x ("x") as appropriate</t>
  </si>
  <si>
    <t>Enter an "x" in only 1 of columns J:L</t>
  </si>
  <si>
    <t>NOTE: DO NOT MODIFY FORMULAS IN COLUMNS P:T</t>
  </si>
  <si>
    <t>For CE credits that apply to Specific Qualifications, mark "Discipline Relevant" in column E and then select the  Specific Topic columns M:N that best matches the material covered</t>
  </si>
  <si>
    <t>Filler</t>
  </si>
  <si>
    <t>Copy data from prior tracker and paste AS VALUES into this worksheet</t>
  </si>
  <si>
    <t>The AAA recommends keeping notes (or agendas or presentations) as documentation for all CE activities. This could be the promo for a webinar, or a few sentences about what was read.</t>
  </si>
  <si>
    <r>
      <t xml:space="preserve">After populating the </t>
    </r>
    <r>
      <rPr>
        <b/>
        <sz val="10"/>
        <color rgb="FF0000FF"/>
        <rFont val="Calibri"/>
        <family val="2"/>
        <scheme val="minor"/>
      </rPr>
      <t>BLUE</t>
    </r>
    <r>
      <rPr>
        <sz val="10"/>
        <rFont val="Calibri"/>
        <family val="2"/>
        <scheme val="minor"/>
      </rPr>
      <t xml:space="preserve"> values in the table above, use the "Get Save Name" button below to create the file name you should use when saving the file</t>
    </r>
  </si>
  <si>
    <r>
      <t xml:space="preserve">Inputs throughout the file are made in cells with </t>
    </r>
    <r>
      <rPr>
        <b/>
        <sz val="10"/>
        <color rgb="FF0000FF"/>
        <rFont val="Calibri"/>
        <family val="2"/>
        <scheme val="minor"/>
      </rPr>
      <t>BLUE</t>
    </r>
    <r>
      <rPr>
        <sz val="10"/>
        <rFont val="Calibri"/>
        <family val="2"/>
        <scheme val="minor"/>
      </rPr>
      <t xml:space="preserve"> text</t>
    </r>
  </si>
  <si>
    <r>
      <t xml:space="preserve">The US Qualification Standards have additional requirements for SAOs issued in the subject area of a specialty track offered by the SOA, or an area of practice covered by the exams of the CAS or ASPPA. For such SAOs, you must meet one of the following criteria. </t>
    </r>
    <r>
      <rPr>
        <sz val="10"/>
        <color theme="4"/>
        <rFont val="Arial"/>
        <family val="2"/>
      </rPr>
      <t xml:space="preserve">Please indicate </t>
    </r>
    <r>
      <rPr>
        <u/>
        <sz val="10"/>
        <color theme="4"/>
        <rFont val="Arial"/>
        <family val="2"/>
      </rPr>
      <t>which</t>
    </r>
    <r>
      <rPr>
        <sz val="10"/>
        <color theme="4"/>
        <rFont val="Arial"/>
        <family val="2"/>
      </rPr>
      <t xml:space="preserve"> method you satisfy:</t>
    </r>
  </si>
  <si>
    <r>
      <t xml:space="preserve">The US Qualification Standards require actuaries to meet basic education and experience requirements, as well as continuing education requirements. In terms of basic education and experience, to be qualified to issue a SAO, actuaries must meet the following criteria. </t>
    </r>
    <r>
      <rPr>
        <sz val="10"/>
        <color theme="4"/>
        <rFont val="Arial"/>
        <family val="2"/>
      </rPr>
      <t xml:space="preserve">Please indicate if you have satisfied </t>
    </r>
    <r>
      <rPr>
        <u/>
        <sz val="10"/>
        <color theme="4"/>
        <rFont val="Arial"/>
        <family val="2"/>
      </rPr>
      <t>each</t>
    </r>
    <r>
      <rPr>
        <sz val="10"/>
        <color theme="4"/>
        <rFont val="Arial"/>
        <family val="2"/>
      </rPr>
      <t xml:space="preserve"> condition: </t>
    </r>
  </si>
  <si>
    <r>
      <t xml:space="preserve">Generally, actuaries need 30 hours of relevant continuing education in the prior calendar year to issue a SAO in the current calendar year. </t>
    </r>
    <r>
      <rPr>
        <sz val="10"/>
        <color theme="4"/>
        <rFont val="Arial"/>
        <family val="2"/>
      </rPr>
      <t xml:space="preserve">Please indicate if you satisfy </t>
    </r>
    <r>
      <rPr>
        <u/>
        <sz val="10"/>
        <color theme="4"/>
        <rFont val="Arial"/>
        <family val="2"/>
      </rPr>
      <t>each</t>
    </r>
    <r>
      <rPr>
        <sz val="10"/>
        <color theme="4"/>
        <rFont val="Arial"/>
        <family val="2"/>
      </rPr>
      <t xml:space="preserve"> of the following criteria:</t>
    </r>
  </si>
  <si>
    <t>Only applies to the office of the appointed actuary</t>
  </si>
  <si>
    <t>• I have three years of responsible actuarial experience, which is defined as work that requires knowledge and skill in solving actuarial problems; and</t>
  </si>
  <si>
    <r>
      <t xml:space="preserve">• I am knowledgeable, through examination or documented professional development, of the Law applicable to the SAO. “Law” is defined in the </t>
    </r>
    <r>
      <rPr>
        <i/>
        <sz val="10"/>
        <rFont val="Arial"/>
        <family val="2"/>
      </rPr>
      <t>Code of Professional Conduct</t>
    </r>
    <r>
      <rPr>
        <sz val="10"/>
        <rFont val="Arial"/>
        <family val="2"/>
      </rPr>
      <t>.</t>
    </r>
  </si>
  <si>
    <t>• I am a Member of the Academy, a Fellow or Associate of the SOA or the CAS, a Fellow of the CCA, a Member or Fellow of ASPPA, or a fully qualified member of another IAA-member organization; and</t>
  </si>
  <si>
    <t>• I have obtained the highest designation in my specialty track (e.g., FCAS, FSA or FSPA).</t>
  </si>
  <si>
    <t>• I have obtained the highest designation in another track, and I have at least one year of responsible actuarial experience in the area of the SAO under the supervision of an actuary qualified in the area of the SAO.</t>
  </si>
  <si>
    <t>• I have three years of responsible actuarial experience in the area of the SAO under the supervision of an actuary qualified in the area of the SAO.</t>
  </si>
  <si>
    <t>• Of those hours, at least three credit hours are considered "professionalism" hours.</t>
  </si>
  <si>
    <t>• Of those hours, at least six credit hours are considered from "organized" activities.</t>
  </si>
  <si>
    <t>• Of those hours, no more than three credit hours were hours spent on general business courses and educational materials. [Note: general business courses are not required, but if taken, are limited to no more than three]</t>
  </si>
  <si>
    <t>• I have completed Humana's tracking report which documents my continuing education credits.</t>
  </si>
  <si>
    <t xml:space="preserve">• I have successfully completed the required topic-specific* examinations administered by the American Academy of Actuaries or the Society of Actuaries to complete an SAO for NAIC Life and A&amp;H Annual Statement.  </t>
  </si>
  <si>
    <t>• I have successfully completed the required topic-specific** examinations administered by the American Academy of Actuaries or the Casualty Actuarial Society to complete an SAO for NAIC Property and Casualty Annual Statement.</t>
  </si>
  <si>
    <t xml:space="preserve">• I have successfully completed the required topic-specific*** examinations administered by the American Academy of Actuaries, the Casualty Actuarial Society, or the Society of Actuaries to complete an SAO for NAIC Health Annual Statement. </t>
  </si>
  <si>
    <t xml:space="preserve">• I have acquired comprehensive knowledge of the applicable topics through responsible work and/or self-study, and a signed statement from an actuary familiar with my professional history and alternative education, and who is qualified to issue NAIC Annual Statement SAOs in my specific specialization, is attached in this file. </t>
  </si>
  <si>
    <t>• I have three years of responsible experience relevant to the subject of the NAIC Annual Statement SAO under review by an actuary who was qualified to issue the NAIC Annual Statement SAO at that time.</t>
  </si>
  <si>
    <t>• Of those hours, at least six credit hours were obtained through experiences that involved interactions with outside actuaries or professionals.</t>
  </si>
  <si>
    <t>• I have attached documentation to support my belief that I am qualified to issue NAIC Annual Statement SAOs.</t>
  </si>
  <si>
    <t>In addition to meeting the above basic education, continuing education, and experience requirements of the General Qualification Standards, an actuary must meet additional specific requirements in order to issue a Statement of Actuarial Opinion for an NAIC Annual Statement.</t>
  </si>
  <si>
    <t>Part 2: Specific Qualification Standards only applies to some of the credentialed actuaries working for Humana's Appointed Actuary and team.  
If Part 2 does not apply to you, skip this section and go to the "9) Attestation" section below. Please do not enter a response in row 101.</t>
  </si>
  <si>
    <r>
      <t xml:space="preserve">Humana notes below in </t>
    </r>
    <r>
      <rPr>
        <b/>
        <sz val="10"/>
        <color theme="4"/>
        <rFont val="Arial"/>
        <family val="2"/>
      </rPr>
      <t>Green</t>
    </r>
    <r>
      <rPr>
        <sz val="10"/>
        <rFont val="Arial"/>
        <family val="2"/>
      </rPr>
      <t xml:space="preserve"> and </t>
    </r>
    <r>
      <rPr>
        <b/>
        <sz val="10"/>
        <color theme="2"/>
        <rFont val="Arial"/>
        <family val="2"/>
      </rPr>
      <t>Plum</t>
    </r>
  </si>
  <si>
    <t>x</t>
  </si>
  <si>
    <t>Data Analysis with Python and Pyspark Jonathan Rioux</t>
  </si>
  <si>
    <t>AHIP</t>
  </si>
  <si>
    <t>Intependent Study</t>
  </si>
  <si>
    <t>Independent Study</t>
  </si>
  <si>
    <t>Theresa Hunyh</t>
  </si>
  <si>
    <t>A Better Crystal Ball: Predictive Analytics 
for Member Risk</t>
  </si>
  <si>
    <t>Patti Coan and Deb DeNure</t>
  </si>
  <si>
    <t>Humana</t>
  </si>
  <si>
    <t>Leading forward #1: Development Planning</t>
  </si>
  <si>
    <t>Leading forward #2: Development Conversations</t>
  </si>
  <si>
    <t>Python Self Study</t>
  </si>
  <si>
    <t>Prealize</t>
  </si>
  <si>
    <t>"Innovative Underwriting Strategies with Premera Blue Cross"</t>
  </si>
  <si>
    <t>Jason Schumacher, Jim Grazko</t>
  </si>
  <si>
    <t xml:space="preserve">• Prealize refreshes data and refits predictive model monthly.
• Prealize generates two kinds of predictions: One designed to predict average claims and one designed to predict the outlier costs.
• It sounds like they also have some sort of mechanism for assuming future high cost based on specific historic high cost drug information.
• Premera BCBS doesn’t even offer LFP to &lt;51 groups, but instead offers it to 51-500 as “ASO on training wheels”.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</si>
</sst>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mm/dd/yy;@"/>
    <numFmt numFmtId="166" formatCode="m/d/yy;@"/>
    <numFmt numFmtId="167" formatCode="[$-409]mmmm\ d\,\ yyyy;@"/>
  </numFmts>
  <fonts count="50" x14ac:knownFonts="1">
    <font>
      <sz val="10"/>
      <name val="Arial"/>
    </font>
    <font>
      <sz val="8"/>
      <name val="Arial"/>
      <family val="2"/>
    </font>
    <font>
      <b/>
      <sz val="10"/>
      <name val="Arial"/>
      <family val="2"/>
    </font>
    <font>
      <sz val="10"/>
      <name val="Arial"/>
      <family val="2"/>
    </font>
    <font>
      <b/>
      <i/>
      <sz val="10"/>
      <name val="Arial"/>
      <family val="2"/>
    </font>
    <font>
      <sz val="9"/>
      <color indexed="81"/>
      <name val="Tahoma"/>
      <family val="2"/>
    </font>
    <font>
      <sz val="9"/>
      <color indexed="39"/>
      <name val="Tahoma"/>
      <family val="2"/>
    </font>
    <font>
      <b/>
      <sz val="10"/>
      <color rgb="FF0000FF"/>
      <name val="Arial"/>
      <family val="2"/>
    </font>
    <font>
      <b/>
      <sz val="16"/>
      <color theme="8" tint="-0.249977111117893"/>
      <name val="Arial"/>
      <family val="2"/>
    </font>
    <font>
      <sz val="14"/>
      <color theme="9" tint="0.39997558519241921"/>
      <name val="Arial"/>
      <family val="2"/>
    </font>
    <font>
      <b/>
      <sz val="14"/>
      <color theme="8" tint="-0.249977111117893"/>
      <name val="Arial"/>
      <family val="2"/>
    </font>
    <font>
      <sz val="12"/>
      <color theme="9"/>
      <name val="Arial"/>
      <family val="2"/>
    </font>
    <font>
      <i/>
      <sz val="10"/>
      <color rgb="FFFF0000"/>
      <name val="Arial"/>
      <family val="2"/>
    </font>
    <font>
      <sz val="10"/>
      <color rgb="FFFF0000"/>
      <name val="Arial"/>
      <family val="2"/>
    </font>
    <font>
      <sz val="10"/>
      <color rgb="FF0000FF"/>
      <name val="Arial"/>
      <family val="2"/>
    </font>
    <font>
      <i/>
      <sz val="10"/>
      <name val="Arial"/>
      <family val="2"/>
    </font>
    <font>
      <i/>
      <sz val="9"/>
      <name val="Arial"/>
      <family val="2"/>
    </font>
    <font>
      <b/>
      <i/>
      <sz val="12"/>
      <name val="Arial"/>
      <family val="2"/>
    </font>
    <font>
      <u/>
      <sz val="10"/>
      <name val="Arial"/>
      <family val="2"/>
    </font>
    <font>
      <i/>
      <sz val="10"/>
      <color rgb="FF0000FF"/>
      <name val="Arial"/>
      <family val="2"/>
    </font>
    <font>
      <u/>
      <sz val="10"/>
      <color theme="10"/>
      <name val="Arial"/>
      <family val="2"/>
    </font>
    <font>
      <b/>
      <sz val="11"/>
      <color theme="8" tint="-0.249977111117893"/>
      <name val="Arial"/>
      <family val="2"/>
    </font>
    <font>
      <sz val="11"/>
      <name val="Calibri"/>
      <family val="2"/>
    </font>
    <font>
      <sz val="10"/>
      <color rgb="FF7030A0"/>
      <name val="Arial"/>
      <family val="2"/>
    </font>
    <font>
      <b/>
      <sz val="9"/>
      <color indexed="81"/>
      <name val="Tahoma"/>
      <family val="2"/>
    </font>
    <font>
      <sz val="10"/>
      <color rgb="FF000000"/>
      <name val="Arial"/>
      <family val="2"/>
    </font>
    <font>
      <sz val="10"/>
      <name val="Calibri"/>
      <family val="2"/>
      <scheme val="minor"/>
    </font>
    <font>
      <b/>
      <sz val="10"/>
      <name val="Calibri"/>
      <family val="2"/>
      <scheme val="minor"/>
    </font>
    <font>
      <i/>
      <sz val="10"/>
      <name val="Calibri"/>
      <family val="2"/>
      <scheme val="minor"/>
    </font>
    <font>
      <b/>
      <u/>
      <sz val="10"/>
      <name val="Calibri"/>
      <family val="2"/>
      <scheme val="minor"/>
    </font>
    <font>
      <sz val="10"/>
      <color indexed="10"/>
      <name val="Calibri"/>
      <family val="2"/>
      <scheme val="minor"/>
    </font>
    <font>
      <b/>
      <sz val="10"/>
      <color rgb="FF0000FF"/>
      <name val="Calibri"/>
      <family val="2"/>
      <scheme val="minor"/>
    </font>
    <font>
      <sz val="10"/>
      <color rgb="FF0000FF"/>
      <name val="Calibri"/>
      <family val="2"/>
      <scheme val="minor"/>
    </font>
    <font>
      <i/>
      <sz val="9"/>
      <name val="Calibri"/>
      <family val="2"/>
      <scheme val="minor"/>
    </font>
    <font>
      <b/>
      <sz val="12"/>
      <name val="Calibri"/>
      <family val="2"/>
      <scheme val="minor"/>
    </font>
    <font>
      <b/>
      <sz val="10"/>
      <color theme="1" tint="0.34998626667073579"/>
      <name val="Calibri"/>
      <family val="2"/>
      <scheme val="minor"/>
    </font>
    <font>
      <sz val="10"/>
      <color theme="1" tint="0.34998626667073579"/>
      <name val="Calibri"/>
      <family val="2"/>
      <scheme val="minor"/>
    </font>
    <font>
      <b/>
      <sz val="18"/>
      <name val="Calibri"/>
      <family val="2"/>
      <scheme val="minor"/>
    </font>
    <font>
      <u/>
      <sz val="10"/>
      <name val="Calibri"/>
      <family val="2"/>
      <scheme val="minor"/>
    </font>
    <font>
      <b/>
      <u/>
      <sz val="10"/>
      <color rgb="FF0000FF"/>
      <name val="Calibri"/>
      <family val="2"/>
      <scheme val="minor"/>
    </font>
    <font>
      <vertAlign val="superscript"/>
      <sz val="10"/>
      <name val="Calibri"/>
      <family val="2"/>
      <scheme val="minor"/>
    </font>
    <font>
      <b/>
      <sz val="10"/>
      <color theme="1" tint="0.499984740745262"/>
      <name val="Calibri"/>
      <family val="2"/>
      <scheme val="minor"/>
    </font>
    <font>
      <sz val="11"/>
      <color rgb="FF000000"/>
      <name val="Calibri"/>
      <family val="2"/>
    </font>
    <font>
      <sz val="10"/>
      <color theme="4"/>
      <name val="Arial"/>
      <family val="2"/>
    </font>
    <font>
      <u/>
      <sz val="10"/>
      <color theme="4"/>
      <name val="Arial"/>
      <family val="2"/>
    </font>
    <font>
      <sz val="10"/>
      <color theme="2"/>
      <name val="Arial"/>
      <family val="2"/>
    </font>
    <font>
      <sz val="10"/>
      <name val="Calibri"/>
      <family val="2"/>
    </font>
    <font>
      <sz val="11"/>
      <color theme="2"/>
      <name val="Arial"/>
      <family val="2"/>
    </font>
    <font>
      <b/>
      <sz val="10"/>
      <color theme="2"/>
      <name val="Arial"/>
      <family val="2"/>
    </font>
    <font>
      <b/>
      <sz val="10"/>
      <color theme="4"/>
      <name val="Arial"/>
      <family val="2"/>
    </font>
  </fonts>
  <fills count="12">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0" tint="-0.14999847407452621"/>
        <bgColor indexed="64"/>
      </patternFill>
    </fill>
  </fills>
  <borders count="52">
    <border>
      <left/>
      <right/>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auto="1"/>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2">
    <xf numFmtId="0" fontId="0" fillId="0" borderId="0"/>
    <xf numFmtId="0" fontId="20" fillId="0" borderId="0" applyNumberFormat="0" applyFill="0" applyBorder="0" applyAlignment="0" applyProtection="0"/>
  </cellStyleXfs>
  <cellXfs count="309">
    <xf numFmtId="0" fontId="0" fillId="0" borderId="0" xfId="0"/>
    <xf numFmtId="0" fontId="0" fillId="0" borderId="0" xfId="0" applyAlignment="1">
      <alignment horizontal="left"/>
    </xf>
    <xf numFmtId="0" fontId="0" fillId="0" borderId="0" xfId="0"/>
    <xf numFmtId="0" fontId="0" fillId="0" borderId="0" xfId="0" applyAlignment="1">
      <alignment wrapText="1"/>
    </xf>
    <xf numFmtId="0" fontId="0" fillId="0" borderId="0" xfId="0" applyAlignment="1">
      <alignment vertical="top"/>
    </xf>
    <xf numFmtId="0" fontId="3" fillId="0" borderId="0" xfId="0" applyFont="1" applyAlignment="1" applyProtection="1">
      <alignment vertical="top"/>
      <protection hidden="1"/>
    </xf>
    <xf numFmtId="0" fontId="0" fillId="0" borderId="0" xfId="0" applyAlignment="1" applyProtection="1">
      <alignment vertical="top"/>
      <protection hidden="1"/>
    </xf>
    <xf numFmtId="0" fontId="3" fillId="0" borderId="0" xfId="0" applyFont="1" applyAlignment="1"/>
    <xf numFmtId="0" fontId="0" fillId="0" borderId="0" xfId="0" applyAlignment="1" applyProtection="1">
      <alignment horizontal="center" vertical="center" wrapText="1"/>
      <protection hidden="1"/>
    </xf>
    <xf numFmtId="0" fontId="3" fillId="0" borderId="0" xfId="0" applyFont="1" applyAlignment="1" applyProtection="1">
      <alignment horizontal="left" vertical="top" wrapText="1"/>
      <protection hidden="1"/>
    </xf>
    <xf numFmtId="0" fontId="3" fillId="0" borderId="0" xfId="0" applyFont="1" applyAlignment="1">
      <alignment vertical="top"/>
    </xf>
    <xf numFmtId="0" fontId="3" fillId="0" borderId="0" xfId="0" applyFont="1" applyAlignment="1" applyProtection="1">
      <protection hidden="1"/>
    </xf>
    <xf numFmtId="0" fontId="3" fillId="0" borderId="0" xfId="0" applyFont="1" applyProtection="1">
      <protection hidden="1"/>
    </xf>
    <xf numFmtId="0" fontId="16" fillId="0" borderId="0" xfId="0" applyFont="1" applyAlignment="1" applyProtection="1">
      <protection hidden="1"/>
    </xf>
    <xf numFmtId="0" fontId="17" fillId="0" borderId="0" xfId="0" applyFont="1" applyAlignment="1" applyProtection="1">
      <alignment horizontal="right"/>
      <protection hidden="1"/>
    </xf>
    <xf numFmtId="0" fontId="4" fillId="0" borderId="0" xfId="0" applyFont="1" applyAlignment="1" applyProtection="1">
      <alignment horizontal="right"/>
      <protection hidden="1"/>
    </xf>
    <xf numFmtId="0" fontId="3" fillId="0" borderId="0" xfId="0" applyFont="1" applyAlignment="1">
      <alignment horizontal="left" vertical="top"/>
    </xf>
    <xf numFmtId="0" fontId="0" fillId="0" borderId="0" xfId="0" applyAlignment="1">
      <alignment horizontal="left" vertical="top"/>
    </xf>
    <xf numFmtId="0" fontId="3" fillId="0" borderId="0" xfId="0" applyFont="1" applyAlignment="1" applyProtection="1">
      <alignment horizontal="left" vertical="top"/>
      <protection hidden="1"/>
    </xf>
    <xf numFmtId="0" fontId="15" fillId="0" borderId="0" xfId="0" applyFont="1" applyAlignment="1" applyProtection="1">
      <alignment horizontal="left" vertical="top"/>
      <protection hidden="1"/>
    </xf>
    <xf numFmtId="0" fontId="3" fillId="0" borderId="0" xfId="0" applyFont="1" applyAlignment="1" applyProtection="1">
      <alignment horizontal="right" vertical="center"/>
      <protection hidden="1"/>
    </xf>
    <xf numFmtId="0" fontId="0" fillId="0" borderId="0" xfId="0" applyAlignment="1"/>
    <xf numFmtId="0" fontId="3" fillId="0" borderId="0" xfId="0" applyFont="1" applyAlignment="1" applyProtection="1">
      <alignment vertical="center"/>
      <protection hidden="1"/>
    </xf>
    <xf numFmtId="0" fontId="3" fillId="0" borderId="0" xfId="0" applyFont="1" applyAlignment="1" applyProtection="1">
      <alignment vertical="top" wrapText="1"/>
      <protection hidden="1"/>
    </xf>
    <xf numFmtId="0" fontId="2" fillId="0" borderId="0" xfId="0" applyFont="1" applyAlignment="1" applyProtection="1">
      <alignment horizontal="left" vertical="center"/>
      <protection hidden="1"/>
    </xf>
    <xf numFmtId="0" fontId="3" fillId="0" borderId="0" xfId="0" applyFont="1" applyFill="1" applyAlignment="1" applyProtection="1">
      <alignment horizontal="left" vertical="top"/>
      <protection hidden="1"/>
    </xf>
    <xf numFmtId="0" fontId="3" fillId="0" borderId="0" xfId="0" applyFont="1" applyFill="1" applyAlignment="1">
      <alignment horizontal="left" vertical="top"/>
    </xf>
    <xf numFmtId="0" fontId="0" fillId="0" borderId="0" xfId="0" applyFill="1" applyAlignment="1">
      <alignment horizontal="left" vertical="top"/>
    </xf>
    <xf numFmtId="0" fontId="15" fillId="0" borderId="0" xfId="0" applyFont="1" applyFill="1" applyAlignment="1" applyProtection="1">
      <alignment horizontal="left" vertical="top"/>
      <protection hidden="1"/>
    </xf>
    <xf numFmtId="0" fontId="3" fillId="0" borderId="0" xfId="0" applyFont="1" applyFill="1" applyAlignment="1" applyProtection="1">
      <alignment horizontal="left" vertical="top" wrapText="1"/>
      <protection hidden="1"/>
    </xf>
    <xf numFmtId="0" fontId="3" fillId="0" borderId="0" xfId="0" applyFont="1" applyFill="1" applyAlignment="1" applyProtection="1">
      <alignment horizontal="right" vertical="center"/>
      <protection hidden="1"/>
    </xf>
    <xf numFmtId="0" fontId="0" fillId="0" borderId="0" xfId="0" applyAlignment="1" applyProtection="1">
      <alignment horizontal="left" vertical="top"/>
      <protection hidden="1"/>
    </xf>
    <xf numFmtId="0" fontId="4" fillId="0" borderId="0" xfId="0" applyFont="1" applyAlignment="1" applyProtection="1">
      <alignment horizontal="left" vertical="top"/>
      <protection hidden="1"/>
    </xf>
    <xf numFmtId="0" fontId="15" fillId="0" borderId="0" xfId="0" applyFont="1" applyAlignment="1" applyProtection="1">
      <alignment vertical="top"/>
      <protection hidden="1"/>
    </xf>
    <xf numFmtId="0" fontId="15" fillId="0" borderId="0" xfId="0" applyFont="1" applyAlignment="1" applyProtection="1">
      <alignment horizontal="left" vertical="top" wrapText="1"/>
      <protection hidden="1"/>
    </xf>
    <xf numFmtId="0" fontId="3" fillId="0" borderId="0" xfId="0" applyFont="1" applyAlignment="1">
      <alignment horizontal="right" vertical="top"/>
    </xf>
    <xf numFmtId="0" fontId="14" fillId="0" borderId="0" xfId="0" applyFont="1" applyFill="1" applyAlignment="1">
      <alignment vertical="top"/>
    </xf>
    <xf numFmtId="0" fontId="0" fillId="0" borderId="0" xfId="0" applyFill="1" applyAlignment="1">
      <alignment vertical="top"/>
    </xf>
    <xf numFmtId="0" fontId="3" fillId="0" borderId="0" xfId="0" applyFont="1"/>
    <xf numFmtId="0" fontId="0" fillId="0" borderId="0" xfId="0" applyAlignment="1">
      <alignment horizontal="center"/>
    </xf>
    <xf numFmtId="0" fontId="20" fillId="0" borderId="0" xfId="1" applyAlignment="1">
      <alignment horizontal="left" wrapText="1" indent="2"/>
    </xf>
    <xf numFmtId="0" fontId="20" fillId="0" borderId="0" xfId="1" applyAlignment="1">
      <alignment horizontal="left" wrapText="1" indent="3"/>
    </xf>
    <xf numFmtId="0" fontId="22" fillId="0" borderId="0" xfId="0" applyFont="1"/>
    <xf numFmtId="0" fontId="3" fillId="0" borderId="0" xfId="0" applyFont="1" applyAlignment="1">
      <alignment vertical="top" wrapText="1"/>
    </xf>
    <xf numFmtId="0" fontId="3" fillId="0" borderId="0" xfId="0" applyFont="1" applyAlignment="1">
      <alignment horizontal="left" vertical="top" wrapText="1"/>
    </xf>
    <xf numFmtId="0" fontId="4" fillId="0" borderId="0" xfId="0" applyFont="1" applyAlignment="1" applyProtection="1">
      <alignment horizontal="left" vertical="top"/>
      <protection hidden="1"/>
    </xf>
    <xf numFmtId="0" fontId="19" fillId="0" borderId="0" xfId="0" applyFont="1" applyAlignment="1" applyProtection="1">
      <alignment vertical="top" wrapText="1"/>
      <protection hidden="1"/>
    </xf>
    <xf numFmtId="0" fontId="3" fillId="0" borderId="0" xfId="0" applyFont="1" applyAlignment="1">
      <alignment wrapText="1"/>
    </xf>
    <xf numFmtId="0" fontId="15" fillId="0" borderId="0" xfId="0" applyFont="1" applyAlignment="1" applyProtection="1">
      <alignment horizontal="left" vertical="top" wrapText="1"/>
      <protection hidden="1"/>
    </xf>
    <xf numFmtId="0" fontId="4" fillId="0" borderId="0" xfId="0" applyFont="1" applyAlignment="1" applyProtection="1">
      <alignment horizontal="left" vertical="top" wrapText="1"/>
      <protection hidden="1"/>
    </xf>
    <xf numFmtId="0" fontId="21" fillId="0" borderId="0" xfId="0" applyFont="1" applyAlignment="1" applyProtection="1">
      <protection hidden="1"/>
    </xf>
    <xf numFmtId="0" fontId="10" fillId="0" borderId="0" xfId="0" applyFont="1" applyAlignment="1" applyProtection="1">
      <protection hidden="1"/>
    </xf>
    <xf numFmtId="0" fontId="3" fillId="0" borderId="0" xfId="0" applyFont="1" applyAlignment="1">
      <alignment vertical="top"/>
    </xf>
    <xf numFmtId="0" fontId="3" fillId="0" borderId="0" xfId="0" applyFont="1" applyAlignment="1">
      <alignment horizontal="left" vertical="top" wrapText="1" indent="2"/>
    </xf>
    <xf numFmtId="0" fontId="3" fillId="0" borderId="0" xfId="0" applyFont="1" applyAlignment="1">
      <alignment horizontal="left" vertical="top" indent="2"/>
    </xf>
    <xf numFmtId="0" fontId="13" fillId="0" borderId="0" xfId="0" applyFont="1" applyAlignment="1" applyProtection="1">
      <alignment vertical="top"/>
      <protection hidden="1"/>
    </xf>
    <xf numFmtId="0" fontId="12" fillId="0" borderId="0" xfId="0" applyFont="1" applyAlignment="1" applyProtection="1">
      <alignment vertical="top"/>
      <protection hidden="1"/>
    </xf>
    <xf numFmtId="0" fontId="2" fillId="0" borderId="0" xfId="0" applyFont="1" applyAlignment="1">
      <alignment vertical="top" wrapText="1"/>
    </xf>
    <xf numFmtId="0" fontId="23" fillId="0" borderId="0" xfId="0" applyFont="1" applyAlignment="1">
      <alignment vertical="top" wrapText="1"/>
    </xf>
    <xf numFmtId="0" fontId="14" fillId="0" borderId="0" xfId="0" applyFont="1" applyAlignment="1">
      <alignment horizontal="left" vertical="top"/>
    </xf>
    <xf numFmtId="0" fontId="12" fillId="0" borderId="0" xfId="0" applyFont="1" applyAlignment="1" applyProtection="1">
      <alignment horizontal="left" vertical="top"/>
      <protection hidden="1"/>
    </xf>
    <xf numFmtId="0" fontId="3" fillId="0" borderId="0" xfId="0" applyFont="1" applyAlignment="1">
      <alignment horizontal="left" vertical="top" indent="6"/>
    </xf>
    <xf numFmtId="0" fontId="3" fillId="0" borderId="0" xfId="0" applyFont="1" applyAlignment="1">
      <alignment horizontal="left" vertical="top" indent="4"/>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xf>
    <xf numFmtId="0" fontId="4" fillId="0" borderId="0" xfId="0" applyFont="1" applyAlignment="1">
      <alignment wrapText="1"/>
    </xf>
    <xf numFmtId="167" fontId="3" fillId="0" borderId="0" xfId="0" quotePrefix="1" applyNumberFormat="1" applyFont="1" applyAlignment="1">
      <alignment horizontal="left"/>
    </xf>
    <xf numFmtId="0" fontId="0" fillId="5" borderId="12" xfId="0" applyFill="1" applyBorder="1"/>
    <xf numFmtId="0" fontId="2" fillId="3" borderId="30" xfId="0" applyFont="1" applyFill="1" applyBorder="1"/>
    <xf numFmtId="0" fontId="0" fillId="5" borderId="31" xfId="0" applyFill="1" applyBorder="1"/>
    <xf numFmtId="0" fontId="2" fillId="0" borderId="0" xfId="0" applyFont="1"/>
    <xf numFmtId="14" fontId="3" fillId="0" borderId="0" xfId="0" applyNumberFormat="1" applyFont="1" applyBorder="1" applyAlignment="1" applyProtection="1">
      <alignment horizontal="left" vertical="top"/>
      <protection hidden="1"/>
    </xf>
    <xf numFmtId="0" fontId="0" fillId="4" borderId="15" xfId="0" applyFill="1" applyBorder="1"/>
    <xf numFmtId="0" fontId="0" fillId="4" borderId="17" xfId="0" applyFill="1" applyBorder="1"/>
    <xf numFmtId="0" fontId="3" fillId="0" borderId="30" xfId="0" applyFont="1" applyBorder="1"/>
    <xf numFmtId="0" fontId="3" fillId="0" borderId="31" xfId="0" applyFont="1" applyBorder="1"/>
    <xf numFmtId="0" fontId="0" fillId="0" borderId="31" xfId="0" applyBorder="1"/>
    <xf numFmtId="0" fontId="2" fillId="3" borderId="11" xfId="0" applyFont="1" applyFill="1" applyBorder="1"/>
    <xf numFmtId="0" fontId="3" fillId="0" borderId="0" xfId="0" applyFont="1" applyFill="1"/>
    <xf numFmtId="0" fontId="3" fillId="0" borderId="11" xfId="0" applyFont="1" applyFill="1" applyBorder="1"/>
    <xf numFmtId="0" fontId="3" fillId="0" borderId="15" xfId="0" applyFont="1" applyFill="1" applyBorder="1"/>
    <xf numFmtId="0" fontId="3" fillId="0" borderId="0" xfId="0" applyFont="1" applyFill="1" applyBorder="1"/>
    <xf numFmtId="0" fontId="26" fillId="0" borderId="0" xfId="0" applyFont="1" applyFill="1" applyBorder="1" applyAlignment="1">
      <alignment horizontal="left"/>
    </xf>
    <xf numFmtId="0" fontId="27" fillId="0" borderId="15" xfId="0" applyFont="1" applyFill="1" applyBorder="1"/>
    <xf numFmtId="0" fontId="27" fillId="0" borderId="32" xfId="0" applyFont="1" applyFill="1" applyBorder="1" applyAlignment="1">
      <alignment horizontal="center"/>
    </xf>
    <xf numFmtId="0" fontId="27" fillId="0" borderId="4" xfId="0" applyFont="1" applyFill="1" applyBorder="1" applyAlignment="1">
      <alignment horizontal="center"/>
    </xf>
    <xf numFmtId="0" fontId="27" fillId="0" borderId="7" xfId="0" applyFont="1" applyFill="1" applyBorder="1"/>
    <xf numFmtId="0" fontId="26" fillId="0" borderId="0" xfId="0" applyFont="1" applyFill="1"/>
    <xf numFmtId="0" fontId="26" fillId="0" borderId="0" xfId="0" applyFont="1" applyFill="1" applyAlignment="1">
      <alignment horizontal="center"/>
    </xf>
    <xf numFmtId="0" fontId="27" fillId="0" borderId="0" xfId="0" applyFont="1" applyFill="1"/>
    <xf numFmtId="0" fontId="28" fillId="0" borderId="0" xfId="0" applyFont="1" applyFill="1" applyBorder="1" applyAlignment="1">
      <alignment wrapText="1"/>
    </xf>
    <xf numFmtId="0" fontId="29" fillId="0" borderId="33" xfId="0" applyFont="1" applyFill="1" applyBorder="1" applyAlignment="1">
      <alignment horizontal="center"/>
    </xf>
    <xf numFmtId="0" fontId="29" fillId="0" borderId="2" xfId="0" applyFont="1" applyFill="1" applyBorder="1" applyAlignment="1">
      <alignment horizontal="center"/>
    </xf>
    <xf numFmtId="164" fontId="27" fillId="0" borderId="2" xfId="0" applyNumberFormat="1" applyFont="1" applyFill="1" applyBorder="1" applyAlignment="1">
      <alignment horizontal="center"/>
    </xf>
    <xf numFmtId="164" fontId="27" fillId="0" borderId="9" xfId="0" applyNumberFormat="1" applyFont="1" applyFill="1" applyBorder="1" applyAlignment="1">
      <alignment horizontal="center"/>
    </xf>
    <xf numFmtId="164" fontId="27" fillId="0" borderId="3" xfId="0" applyNumberFormat="1" applyFont="1" applyFill="1" applyBorder="1" applyAlignment="1">
      <alignment horizontal="center"/>
    </xf>
    <xf numFmtId="0" fontId="27" fillId="0" borderId="7" xfId="0" applyFont="1" applyFill="1" applyBorder="1" applyAlignment="1"/>
    <xf numFmtId="0" fontId="26" fillId="0" borderId="15" xfId="0" applyFont="1" applyFill="1" applyBorder="1"/>
    <xf numFmtId="0" fontId="27" fillId="0" borderId="0" xfId="0" applyFont="1" applyFill="1" applyAlignment="1">
      <alignment horizontal="left"/>
    </xf>
    <xf numFmtId="165" fontId="27" fillId="0" borderId="0" xfId="0" applyNumberFormat="1" applyFont="1" applyFill="1" applyAlignment="1">
      <alignment horizontal="center" vertical="top"/>
    </xf>
    <xf numFmtId="166" fontId="27" fillId="0" borderId="0" xfId="0" applyNumberFormat="1" applyFont="1" applyFill="1" applyAlignment="1">
      <alignment horizontal="center"/>
    </xf>
    <xf numFmtId="0" fontId="30" fillId="0" borderId="0" xfId="0" applyFont="1" applyFill="1" applyAlignment="1"/>
    <xf numFmtId="0" fontId="32" fillId="0" borderId="31" xfId="0" applyFont="1" applyFill="1" applyBorder="1" applyAlignment="1">
      <alignment horizontal="center"/>
    </xf>
    <xf numFmtId="0" fontId="27" fillId="6" borderId="26" xfId="0" applyFont="1" applyFill="1" applyBorder="1" applyAlignment="1"/>
    <xf numFmtId="0" fontId="27" fillId="0" borderId="40" xfId="0" applyFont="1" applyFill="1" applyBorder="1" applyAlignment="1"/>
    <xf numFmtId="0" fontId="26" fillId="0" borderId="40" xfId="0" applyFont="1" applyFill="1" applyBorder="1" applyAlignment="1">
      <alignment horizontal="center"/>
    </xf>
    <xf numFmtId="0" fontId="26" fillId="0" borderId="14" xfId="0" applyFont="1" applyFill="1" applyBorder="1" applyAlignment="1">
      <alignment horizontal="center"/>
    </xf>
    <xf numFmtId="0" fontId="26" fillId="9" borderId="32" xfId="0" applyFont="1" applyFill="1" applyBorder="1" applyAlignment="1">
      <alignment horizontal="center"/>
    </xf>
    <xf numFmtId="0" fontId="26" fillId="9" borderId="4" xfId="0" applyFont="1" applyFill="1" applyBorder="1" applyAlignment="1">
      <alignment horizontal="center"/>
    </xf>
    <xf numFmtId="0" fontId="27" fillId="9" borderId="25" xfId="0" applyFont="1" applyFill="1" applyBorder="1"/>
    <xf numFmtId="0" fontId="26" fillId="10" borderId="37" xfId="0" applyFont="1" applyFill="1" applyBorder="1" applyAlignment="1">
      <alignment horizontal="center"/>
    </xf>
    <xf numFmtId="0" fontId="26" fillId="10" borderId="20" xfId="0" applyFont="1" applyFill="1" applyBorder="1" applyAlignment="1">
      <alignment horizontal="center"/>
    </xf>
    <xf numFmtId="0" fontId="27" fillId="10" borderId="26" xfId="0" applyFont="1" applyFill="1" applyBorder="1"/>
    <xf numFmtId="0" fontId="27" fillId="8" borderId="27" xfId="0" applyFont="1" applyFill="1" applyBorder="1" applyAlignment="1">
      <alignment horizontal="center"/>
    </xf>
    <xf numFmtId="0" fontId="27" fillId="8" borderId="29" xfId="0" applyFont="1" applyFill="1" applyBorder="1" applyAlignment="1">
      <alignment horizontal="center"/>
    </xf>
    <xf numFmtId="0" fontId="26" fillId="8" borderId="22" xfId="0" applyFont="1" applyFill="1" applyBorder="1" applyAlignment="1">
      <alignment horizontal="left"/>
    </xf>
    <xf numFmtId="0" fontId="26" fillId="8" borderId="24" xfId="0" applyFont="1" applyFill="1" applyBorder="1" applyAlignment="1">
      <alignment horizontal="center"/>
    </xf>
    <xf numFmtId="0" fontId="26" fillId="8" borderId="23" xfId="0" applyFont="1" applyFill="1" applyBorder="1" applyAlignment="1">
      <alignment horizontal="center"/>
    </xf>
    <xf numFmtId="0" fontId="26" fillId="0" borderId="0" xfId="0" applyFont="1" applyFill="1" applyBorder="1"/>
    <xf numFmtId="0" fontId="32" fillId="0" borderId="0" xfId="0" applyFont="1" applyFill="1" applyBorder="1" applyAlignment="1">
      <alignment horizontal="center"/>
    </xf>
    <xf numFmtId="0" fontId="32" fillId="0" borderId="0" xfId="0" applyFont="1" applyFill="1" applyBorder="1" applyAlignment="1">
      <alignment horizontal="center" wrapText="1"/>
    </xf>
    <xf numFmtId="0" fontId="31" fillId="0" borderId="0" xfId="0" applyFont="1" applyFill="1" applyBorder="1" applyAlignment="1">
      <alignment wrapText="1"/>
    </xf>
    <xf numFmtId="0" fontId="32" fillId="0" borderId="31" xfId="0" applyFont="1" applyFill="1" applyBorder="1" applyAlignment="1">
      <alignment horizontal="left" wrapText="1"/>
    </xf>
    <xf numFmtId="0" fontId="32" fillId="0" borderId="31" xfId="0" applyFont="1" applyFill="1" applyBorder="1" applyAlignment="1">
      <alignment horizontal="center" wrapText="1"/>
    </xf>
    <xf numFmtId="0" fontId="26" fillId="0" borderId="31" xfId="0" applyFont="1" applyFill="1" applyBorder="1" applyAlignment="1">
      <alignment wrapText="1"/>
    </xf>
    <xf numFmtId="166" fontId="31" fillId="0" borderId="31" xfId="0" applyNumberFormat="1" applyFont="1" applyFill="1" applyBorder="1" applyAlignment="1">
      <alignment horizontal="center"/>
    </xf>
    <xf numFmtId="0" fontId="32" fillId="0" borderId="42" xfId="0" applyFont="1" applyFill="1" applyBorder="1" applyAlignment="1">
      <alignment horizontal="center"/>
    </xf>
    <xf numFmtId="0" fontId="26" fillId="10" borderId="42" xfId="0" applyFont="1" applyFill="1" applyBorder="1" applyAlignment="1">
      <alignment horizontal="left"/>
    </xf>
    <xf numFmtId="0" fontId="26" fillId="9" borderId="43" xfId="0" applyFont="1" applyFill="1" applyBorder="1" applyAlignment="1">
      <alignment horizontal="left"/>
    </xf>
    <xf numFmtId="0" fontId="32" fillId="0" borderId="14" xfId="0" applyFont="1" applyFill="1" applyBorder="1" applyAlignment="1">
      <alignment horizontal="center"/>
    </xf>
    <xf numFmtId="0" fontId="32" fillId="0" borderId="15" xfId="0" applyFont="1" applyFill="1" applyBorder="1" applyAlignment="1">
      <alignment horizontal="center"/>
    </xf>
    <xf numFmtId="0" fontId="31" fillId="0" borderId="17" xfId="0" applyFont="1" applyFill="1" applyBorder="1" applyAlignment="1">
      <alignment horizontal="center"/>
    </xf>
    <xf numFmtId="0" fontId="27" fillId="7" borderId="25" xfId="0" applyFont="1" applyFill="1" applyBorder="1" applyAlignment="1"/>
    <xf numFmtId="0" fontId="36" fillId="0" borderId="14" xfId="0" applyFont="1" applyFill="1" applyBorder="1" applyAlignment="1">
      <alignment horizontal="center"/>
    </xf>
    <xf numFmtId="0" fontId="36" fillId="0" borderId="0" xfId="0" applyFont="1" applyFill="1" applyBorder="1" applyAlignment="1">
      <alignment horizontal="center"/>
    </xf>
    <xf numFmtId="164" fontId="35" fillId="7" borderId="6" xfId="0" applyNumberFormat="1" applyFont="1" applyFill="1" applyBorder="1" applyAlignment="1">
      <alignment horizontal="center"/>
    </xf>
    <xf numFmtId="164" fontId="35" fillId="7" borderId="4" xfId="0" applyNumberFormat="1" applyFont="1" applyFill="1" applyBorder="1" applyAlignment="1">
      <alignment horizontal="center"/>
    </xf>
    <xf numFmtId="164" fontId="35" fillId="7" borderId="5" xfId="0" applyNumberFormat="1" applyFont="1" applyFill="1" applyBorder="1" applyAlignment="1">
      <alignment horizontal="center"/>
    </xf>
    <xf numFmtId="164" fontId="35" fillId="7" borderId="1" xfId="0" applyNumberFormat="1" applyFont="1" applyFill="1" applyBorder="1" applyAlignment="1">
      <alignment horizontal="center"/>
    </xf>
    <xf numFmtId="164" fontId="35" fillId="6" borderId="18" xfId="0" applyNumberFormat="1" applyFont="1" applyFill="1" applyBorder="1" applyAlignment="1">
      <alignment horizontal="center"/>
    </xf>
    <xf numFmtId="164" fontId="35" fillId="6" borderId="20" xfId="0" applyNumberFormat="1" applyFont="1" applyFill="1" applyBorder="1" applyAlignment="1">
      <alignment horizontal="center"/>
    </xf>
    <xf numFmtId="164" fontId="35" fillId="6" borderId="19" xfId="0" applyNumberFormat="1" applyFont="1" applyFill="1" applyBorder="1" applyAlignment="1">
      <alignment horizontal="center"/>
    </xf>
    <xf numFmtId="164" fontId="35" fillId="6" borderId="21" xfId="0" applyNumberFormat="1" applyFont="1" applyFill="1" applyBorder="1" applyAlignment="1">
      <alignment horizontal="center"/>
    </xf>
    <xf numFmtId="0" fontId="27" fillId="0" borderId="22" xfId="0" applyFont="1" applyFill="1" applyBorder="1" applyAlignment="1">
      <alignment horizontal="center"/>
    </xf>
    <xf numFmtId="0" fontId="27" fillId="0" borderId="24" xfId="0" applyFont="1" applyFill="1" applyBorder="1" applyAlignment="1">
      <alignment horizontal="center"/>
    </xf>
    <xf numFmtId="0" fontId="3" fillId="0" borderId="0" xfId="0" applyFont="1" applyAlignment="1" applyProtection="1">
      <alignment horizontal="left" vertical="top"/>
      <protection hidden="1"/>
    </xf>
    <xf numFmtId="0" fontId="3" fillId="0" borderId="0" xfId="0" applyFont="1" applyFill="1" applyAlignment="1" applyProtection="1">
      <alignment horizontal="right" vertical="center"/>
      <protection hidden="1"/>
    </xf>
    <xf numFmtId="0" fontId="3" fillId="0" borderId="0" xfId="0" applyFont="1" applyAlignment="1" applyProtection="1">
      <alignment horizontal="right" vertical="center"/>
      <protection hidden="1"/>
    </xf>
    <xf numFmtId="0" fontId="0" fillId="0" borderId="0" xfId="0" applyFill="1" applyAlignment="1">
      <alignment vertical="top" wrapText="1"/>
    </xf>
    <xf numFmtId="0" fontId="0" fillId="0" borderId="0" xfId="0" applyAlignment="1">
      <alignment wrapText="1"/>
    </xf>
    <xf numFmtId="0" fontId="3" fillId="0" borderId="0" xfId="0" applyFont="1" applyFill="1" applyAlignment="1" applyProtection="1">
      <alignment horizontal="left" vertical="top"/>
      <protection hidden="1"/>
    </xf>
    <xf numFmtId="0" fontId="3" fillId="0" borderId="0" xfId="0" applyFont="1" applyAlignment="1" applyProtection="1">
      <alignment horizontal="left" vertical="top" wrapText="1"/>
      <protection hidden="1"/>
    </xf>
    <xf numFmtId="0" fontId="3" fillId="0" borderId="0" xfId="0" applyFont="1" applyAlignment="1" applyProtection="1">
      <alignment vertical="top"/>
      <protection hidden="1"/>
    </xf>
    <xf numFmtId="0" fontId="36" fillId="0" borderId="15" xfId="0" applyFont="1" applyFill="1" applyBorder="1" applyAlignment="1">
      <alignment horizontal="center"/>
    </xf>
    <xf numFmtId="0" fontId="36" fillId="0" borderId="46" xfId="0" applyFont="1" applyFill="1" applyBorder="1" applyAlignment="1">
      <alignment horizontal="center"/>
    </xf>
    <xf numFmtId="0" fontId="36" fillId="0" borderId="42" xfId="0" applyFont="1" applyFill="1" applyBorder="1" applyAlignment="1">
      <alignment horizontal="center"/>
    </xf>
    <xf numFmtId="0" fontId="31" fillId="0" borderId="31" xfId="0" applyFont="1" applyFill="1" applyBorder="1" applyAlignment="1">
      <alignment wrapText="1"/>
    </xf>
    <xf numFmtId="0" fontId="27" fillId="0" borderId="0" xfId="0" applyFont="1" applyFill="1" applyBorder="1" applyAlignment="1">
      <alignment horizontal="centerContinuous"/>
    </xf>
    <xf numFmtId="0" fontId="26" fillId="0" borderId="15" xfId="0" applyFont="1" applyFill="1" applyBorder="1" applyAlignment="1">
      <alignment horizontal="center"/>
    </xf>
    <xf numFmtId="0" fontId="27" fillId="0" borderId="10" xfId="0" applyFont="1" applyFill="1" applyBorder="1" applyAlignment="1">
      <alignment horizontal="centerContinuous" wrapText="1"/>
    </xf>
    <xf numFmtId="0" fontId="26" fillId="0" borderId="40" xfId="0" applyFont="1" applyFill="1" applyBorder="1" applyAlignment="1">
      <alignment horizontal="centerContinuous" wrapText="1"/>
    </xf>
    <xf numFmtId="0" fontId="26" fillId="0" borderId="11" xfId="0" applyFont="1" applyFill="1" applyBorder="1" applyAlignment="1">
      <alignment horizontal="centerContinuous" wrapText="1"/>
    </xf>
    <xf numFmtId="166" fontId="27" fillId="0" borderId="41" xfId="0" applyNumberFormat="1" applyFont="1" applyFill="1" applyBorder="1" applyAlignment="1">
      <alignment horizontal="center"/>
    </xf>
    <xf numFmtId="0" fontId="27" fillId="0" borderId="47" xfId="0" applyFont="1" applyFill="1" applyBorder="1" applyAlignment="1">
      <alignment horizontal="center" wrapText="1"/>
    </xf>
    <xf numFmtId="0" fontId="27" fillId="0" borderId="41" xfId="0" applyFont="1" applyFill="1" applyBorder="1" applyAlignment="1">
      <alignment horizontal="center" wrapText="1"/>
    </xf>
    <xf numFmtId="0" fontId="27" fillId="0" borderId="22" xfId="0" applyFont="1" applyFill="1" applyBorder="1" applyAlignment="1">
      <alignment horizontal="center" wrapText="1"/>
    </xf>
    <xf numFmtId="0" fontId="27" fillId="0" borderId="48" xfId="0" applyFont="1" applyFill="1" applyBorder="1" applyAlignment="1">
      <alignment horizontal="center" wrapText="1"/>
    </xf>
    <xf numFmtId="0" fontId="27" fillId="0" borderId="23" xfId="0" applyFont="1" applyFill="1" applyBorder="1" applyAlignment="1">
      <alignment horizontal="center" wrapText="1"/>
    </xf>
    <xf numFmtId="0" fontId="27" fillId="9" borderId="49" xfId="0" applyFont="1" applyFill="1" applyBorder="1" applyAlignment="1">
      <alignment horizontal="center" wrapText="1"/>
    </xf>
    <xf numFmtId="0" fontId="27" fillId="10" borderId="48" xfId="0" applyFont="1" applyFill="1" applyBorder="1" applyAlignment="1">
      <alignment horizontal="center" wrapText="1"/>
    </xf>
    <xf numFmtId="0" fontId="27" fillId="0" borderId="24" xfId="0" applyFont="1" applyFill="1" applyBorder="1" applyAlignment="1">
      <alignment horizontal="center" wrapText="1"/>
    </xf>
    <xf numFmtId="0" fontId="35" fillId="0" borderId="22" xfId="0" applyFont="1" applyFill="1" applyBorder="1" applyAlignment="1">
      <alignment horizontal="center" wrapText="1"/>
    </xf>
    <xf numFmtId="0" fontId="35" fillId="0" borderId="50" xfId="0" applyFont="1" applyFill="1" applyBorder="1" applyAlignment="1">
      <alignment horizontal="center" wrapText="1"/>
    </xf>
    <xf numFmtId="0" fontId="35" fillId="0" borderId="47" xfId="0" applyFont="1" applyFill="1" applyBorder="1" applyAlignment="1">
      <alignment horizontal="center" wrapText="1"/>
    </xf>
    <xf numFmtId="0" fontId="35" fillId="0" borderId="51" xfId="0" applyFont="1" applyFill="1" applyBorder="1" applyAlignment="1">
      <alignment horizontal="center" wrapText="1"/>
    </xf>
    <xf numFmtId="0" fontId="35" fillId="0" borderId="24" xfId="0" applyFont="1" applyFill="1" applyBorder="1" applyAlignment="1">
      <alignment horizontal="center" wrapText="1"/>
    </xf>
    <xf numFmtId="0" fontId="27" fillId="0" borderId="41" xfId="0" applyFont="1" applyFill="1" applyBorder="1" applyAlignment="1">
      <alignment horizontal="center"/>
    </xf>
    <xf numFmtId="0" fontId="27" fillId="0" borderId="41" xfId="0" applyFont="1" applyFill="1" applyBorder="1" applyAlignment="1">
      <alignment horizontal="left"/>
    </xf>
    <xf numFmtId="0" fontId="27" fillId="2" borderId="0" xfId="0" applyFont="1" applyFill="1"/>
    <xf numFmtId="0" fontId="26" fillId="2" borderId="0" xfId="0" applyFont="1" applyFill="1"/>
    <xf numFmtId="0" fontId="27" fillId="2" borderId="15" xfId="0" applyFont="1" applyFill="1" applyBorder="1" applyAlignment="1">
      <alignment vertical="top" textRotation="180"/>
    </xf>
    <xf numFmtId="0" fontId="26" fillId="2" borderId="15" xfId="0" applyFont="1" applyFill="1" applyBorder="1"/>
    <xf numFmtId="0" fontId="26" fillId="2" borderId="0" xfId="0" applyFont="1" applyFill="1" applyAlignment="1">
      <alignment vertical="top"/>
    </xf>
    <xf numFmtId="0" fontId="28" fillId="2" borderId="4" xfId="0" applyFont="1" applyFill="1" applyBorder="1" applyAlignment="1">
      <alignment horizontal="right" vertical="top"/>
    </xf>
    <xf numFmtId="0" fontId="28" fillId="2" borderId="4" xfId="0" applyFont="1" applyFill="1" applyBorder="1" applyAlignment="1">
      <alignment horizontal="right" vertical="top" wrapText="1"/>
    </xf>
    <xf numFmtId="0" fontId="34" fillId="0" borderId="0" xfId="0" applyFont="1" applyFill="1" applyBorder="1" applyAlignment="1">
      <alignment horizontal="center" vertical="top" textRotation="180"/>
    </xf>
    <xf numFmtId="0" fontId="27" fillId="0" borderId="0" xfId="0" applyFont="1" applyFill="1" applyBorder="1" applyAlignment="1">
      <alignment vertical="top" textRotation="180"/>
    </xf>
    <xf numFmtId="0" fontId="27" fillId="0" borderId="0" xfId="0" applyFont="1" applyFill="1" applyBorder="1" applyAlignment="1">
      <alignment horizontal="left"/>
    </xf>
    <xf numFmtId="0" fontId="27" fillId="2" borderId="0" xfId="0" applyFont="1" applyFill="1" applyAlignment="1">
      <alignment horizontal="right"/>
    </xf>
    <xf numFmtId="0" fontId="27" fillId="2" borderId="0" xfId="0" applyFont="1" applyFill="1" applyAlignment="1"/>
    <xf numFmtId="165" fontId="37" fillId="0" borderId="0" xfId="0" applyNumberFormat="1" applyFont="1" applyAlignment="1">
      <alignment horizontal="left" vertical="top"/>
    </xf>
    <xf numFmtId="0" fontId="26" fillId="0" borderId="0" xfId="0" applyFont="1"/>
    <xf numFmtId="166" fontId="38" fillId="0" borderId="10" xfId="0" applyNumberFormat="1" applyFont="1" applyBorder="1" applyAlignment="1">
      <alignment vertical="top"/>
    </xf>
    <xf numFmtId="0" fontId="26" fillId="0" borderId="11" xfId="0" applyFont="1" applyBorder="1" applyAlignment="1">
      <alignment horizontal="center"/>
    </xf>
    <xf numFmtId="166" fontId="26" fillId="0" borderId="14" xfId="0" applyNumberFormat="1" applyFont="1" applyBorder="1" applyAlignment="1">
      <alignment horizontal="left"/>
    </xf>
    <xf numFmtId="0" fontId="26" fillId="0" borderId="15" xfId="0" applyFont="1" applyBorder="1" applyAlignment="1">
      <alignment horizontal="center"/>
    </xf>
    <xf numFmtId="166" fontId="27" fillId="0" borderId="14" xfId="0" applyNumberFormat="1" applyFont="1" applyBorder="1" applyAlignment="1">
      <alignment horizontal="right"/>
    </xf>
    <xf numFmtId="0" fontId="31" fillId="0" borderId="15" xfId="0" applyFont="1" applyFill="1" applyBorder="1" applyAlignment="1">
      <alignment horizontal="center"/>
    </xf>
    <xf numFmtId="166" fontId="27" fillId="0" borderId="16" xfId="0" applyNumberFormat="1" applyFont="1" applyBorder="1" applyAlignment="1">
      <alignment horizontal="right"/>
    </xf>
    <xf numFmtId="166" fontId="27" fillId="0" borderId="0" xfId="0" applyNumberFormat="1" applyFont="1" applyBorder="1" applyAlignment="1">
      <alignment horizontal="left"/>
    </xf>
    <xf numFmtId="0" fontId="26" fillId="0" borderId="0" xfId="0" applyFont="1" applyBorder="1" applyAlignment="1">
      <alignment horizontal="left"/>
    </xf>
    <xf numFmtId="166" fontId="27" fillId="0" borderId="34" xfId="0" applyNumberFormat="1" applyFont="1" applyBorder="1" applyAlignment="1">
      <alignment horizontal="left"/>
    </xf>
    <xf numFmtId="0" fontId="26" fillId="0" borderId="34" xfId="0" applyFont="1" applyBorder="1" applyAlignment="1">
      <alignment horizontal="left"/>
    </xf>
    <xf numFmtId="166" fontId="26" fillId="0" borderId="0" xfId="0" applyNumberFormat="1" applyFont="1" applyBorder="1" applyAlignment="1">
      <alignment horizontal="left" wrapText="1"/>
    </xf>
    <xf numFmtId="0" fontId="26" fillId="0" borderId="0" xfId="0" applyFont="1" applyBorder="1" applyAlignment="1">
      <alignment wrapText="1"/>
    </xf>
    <xf numFmtId="0" fontId="26" fillId="0" borderId="0" xfId="0" applyFont="1" applyBorder="1" applyAlignment="1">
      <alignment horizontal="left" wrapText="1" indent="1"/>
    </xf>
    <xf numFmtId="0" fontId="26" fillId="0" borderId="0" xfId="0" applyFont="1" applyAlignment="1">
      <alignment wrapText="1"/>
    </xf>
    <xf numFmtId="0" fontId="26" fillId="0" borderId="34" xfId="0" applyFont="1" applyBorder="1"/>
    <xf numFmtId="0" fontId="26" fillId="0" borderId="0" xfId="0" applyFont="1" applyBorder="1"/>
    <xf numFmtId="166" fontId="26" fillId="0" borderId="0" xfId="0" applyNumberFormat="1" applyFont="1" applyBorder="1" applyAlignment="1">
      <alignment horizontal="left" indent="1"/>
    </xf>
    <xf numFmtId="0" fontId="26" fillId="0" borderId="0" xfId="0" applyFont="1" applyBorder="1" applyAlignment="1">
      <alignment horizontal="left" wrapText="1"/>
    </xf>
    <xf numFmtId="0" fontId="26" fillId="0" borderId="4" xfId="0" applyFont="1" applyBorder="1" applyAlignment="1">
      <alignment horizontal="left" wrapText="1" indent="1"/>
    </xf>
    <xf numFmtId="166" fontId="26" fillId="0" borderId="0" xfId="0" applyNumberFormat="1" applyFont="1" applyBorder="1" applyAlignment="1">
      <alignment horizontal="left" wrapText="1" indent="1"/>
    </xf>
    <xf numFmtId="166" fontId="26" fillId="0" borderId="0" xfId="0" applyNumberFormat="1" applyFont="1" applyBorder="1" applyAlignment="1">
      <alignment horizontal="left"/>
    </xf>
    <xf numFmtId="0" fontId="26" fillId="0" borderId="0" xfId="0" applyFont="1" applyAlignment="1">
      <alignment horizontal="left" wrapText="1" indent="1"/>
    </xf>
    <xf numFmtId="0" fontId="26" fillId="0" borderId="0" xfId="0" applyFont="1" applyAlignment="1">
      <alignment horizontal="left" indent="1"/>
    </xf>
    <xf numFmtId="0" fontId="42" fillId="0" borderId="0" xfId="0" applyFont="1"/>
    <xf numFmtId="0" fontId="42" fillId="0" borderId="0" xfId="0" applyFont="1" applyAlignment="1">
      <alignment wrapText="1"/>
    </xf>
    <xf numFmtId="0" fontId="3" fillId="0" borderId="30" xfId="0" applyFont="1" applyFill="1" applyBorder="1"/>
    <xf numFmtId="0" fontId="3" fillId="0" borderId="31" xfId="0" applyFont="1" applyFill="1" applyBorder="1"/>
    <xf numFmtId="0" fontId="0" fillId="0" borderId="31" xfId="0" applyFill="1" applyBorder="1"/>
    <xf numFmtId="0" fontId="0" fillId="0" borderId="12" xfId="0" quotePrefix="1" applyBorder="1"/>
    <xf numFmtId="0" fontId="31" fillId="0" borderId="15" xfId="0" quotePrefix="1" applyFont="1" applyFill="1" applyBorder="1" applyAlignment="1">
      <alignment horizontal="center"/>
    </xf>
    <xf numFmtId="0" fontId="32" fillId="0" borderId="0" xfId="0" applyFont="1" applyFill="1" applyBorder="1"/>
    <xf numFmtId="0" fontId="32" fillId="0" borderId="31" xfId="0" applyFont="1" applyFill="1" applyBorder="1" applyAlignment="1">
      <alignment wrapText="1"/>
    </xf>
    <xf numFmtId="0" fontId="32" fillId="0" borderId="31" xfId="0" quotePrefix="1" applyFont="1" applyFill="1" applyBorder="1" applyAlignment="1">
      <alignment wrapText="1"/>
    </xf>
    <xf numFmtId="0" fontId="31" fillId="0" borderId="0" xfId="0" applyFont="1" applyFill="1" applyBorder="1" applyAlignment="1">
      <alignment horizontal="center"/>
    </xf>
    <xf numFmtId="0" fontId="31" fillId="0" borderId="31" xfId="0" applyFont="1" applyFill="1" applyBorder="1" applyAlignment="1">
      <alignment horizontal="center" wrapText="1"/>
    </xf>
    <xf numFmtId="0" fontId="32" fillId="9" borderId="43" xfId="0" applyFont="1" applyFill="1" applyBorder="1" applyAlignment="1">
      <alignment horizontal="left"/>
    </xf>
    <xf numFmtId="0" fontId="32" fillId="10" borderId="42" xfId="0" applyFont="1" applyFill="1" applyBorder="1" applyAlignment="1">
      <alignment horizontal="left"/>
    </xf>
    <xf numFmtId="0" fontId="27" fillId="0" borderId="31" xfId="0" applyFont="1" applyFill="1" applyBorder="1" applyAlignment="1">
      <alignment horizontal="center"/>
    </xf>
    <xf numFmtId="0" fontId="26" fillId="0" borderId="31" xfId="0" applyFont="1" applyFill="1" applyBorder="1" applyAlignment="1">
      <alignment horizontal="left" wrapText="1"/>
    </xf>
    <xf numFmtId="0" fontId="26" fillId="0" borderId="0" xfId="0" applyFont="1" applyFill="1" applyAlignment="1">
      <alignment horizontal="center" wrapText="1"/>
    </xf>
    <xf numFmtId="0" fontId="26" fillId="0" borderId="31" xfId="0" applyFont="1" applyFill="1" applyBorder="1" applyAlignment="1">
      <alignment horizontal="center" wrapText="1"/>
    </xf>
    <xf numFmtId="0" fontId="43" fillId="0" borderId="0" xfId="0" applyFont="1" applyAlignment="1">
      <alignment vertical="top"/>
    </xf>
    <xf numFmtId="0" fontId="43" fillId="0" borderId="0" xfId="0" applyFont="1" applyAlignment="1">
      <alignment horizontal="left" vertical="top"/>
    </xf>
    <xf numFmtId="0" fontId="45" fillId="0" borderId="0" xfId="0" applyFont="1" applyAlignment="1">
      <alignment horizontal="left" vertical="top"/>
    </xf>
    <xf numFmtId="0" fontId="3" fillId="0" borderId="0" xfId="0" applyFont="1" applyAlignment="1" applyProtection="1">
      <alignment horizontal="right" vertical="top"/>
      <protection hidden="1"/>
    </xf>
    <xf numFmtId="0" fontId="0" fillId="11" borderId="0" xfId="0" applyFill="1" applyAlignment="1">
      <alignment vertical="top"/>
    </xf>
    <xf numFmtId="0" fontId="0" fillId="11" borderId="0" xfId="0" applyFill="1" applyAlignment="1">
      <alignment horizontal="left"/>
    </xf>
    <xf numFmtId="0" fontId="4" fillId="11" borderId="0" xfId="0" applyFont="1" applyFill="1" applyAlignment="1" applyProtection="1">
      <alignment horizontal="right"/>
      <protection hidden="1"/>
    </xf>
    <xf numFmtId="0" fontId="0" fillId="11" borderId="0" xfId="0" applyFill="1" applyAlignment="1">
      <alignment horizontal="left" vertical="top"/>
    </xf>
    <xf numFmtId="0" fontId="0" fillId="11" borderId="0" xfId="0" applyFill="1" applyAlignment="1"/>
    <xf numFmtId="0" fontId="17" fillId="11" borderId="0" xfId="0" applyFont="1" applyFill="1" applyAlignment="1" applyProtection="1">
      <alignment horizontal="right"/>
      <protection hidden="1"/>
    </xf>
    <xf numFmtId="0" fontId="0" fillId="11" borderId="0" xfId="0" applyFill="1" applyAlignment="1" applyProtection="1">
      <alignment horizontal="left" vertical="top"/>
      <protection hidden="1"/>
    </xf>
    <xf numFmtId="0" fontId="46" fillId="0" borderId="0" xfId="0" applyFont="1" applyFill="1" applyAlignment="1">
      <alignment vertical="top"/>
    </xf>
    <xf numFmtId="0" fontId="43" fillId="0" borderId="0" xfId="0" applyFont="1" applyAlignment="1"/>
    <xf numFmtId="0" fontId="26" fillId="2" borderId="4" xfId="0" applyFont="1" applyFill="1" applyBorder="1" applyAlignment="1">
      <alignment horizontal="left" vertical="top" wrapText="1"/>
    </xf>
    <xf numFmtId="164" fontId="26" fillId="0" borderId="27" xfId="0" applyNumberFormat="1" applyFont="1" applyFill="1" applyBorder="1" applyAlignment="1">
      <alignment horizontal="center" wrapText="1"/>
    </xf>
    <xf numFmtId="164" fontId="26" fillId="0" borderId="37" xfId="0" applyNumberFormat="1" applyFont="1" applyFill="1" applyBorder="1" applyAlignment="1">
      <alignment horizontal="center" wrapText="1"/>
    </xf>
    <xf numFmtId="164" fontId="26" fillId="0" borderId="28" xfId="0" applyNumberFormat="1" applyFont="1" applyFill="1" applyBorder="1" applyAlignment="1">
      <alignment horizontal="center" wrapText="1"/>
    </xf>
    <xf numFmtId="164" fontId="26" fillId="0" borderId="20" xfId="0" applyNumberFormat="1" applyFont="1" applyFill="1" applyBorder="1" applyAlignment="1">
      <alignment horizontal="center" wrapText="1"/>
    </xf>
    <xf numFmtId="0" fontId="27" fillId="0" borderId="10" xfId="0" applyFont="1" applyFill="1" applyBorder="1" applyAlignment="1">
      <alignment horizontal="center"/>
    </xf>
    <xf numFmtId="0" fontId="27" fillId="0" borderId="40" xfId="0" applyFont="1" applyFill="1" applyBorder="1" applyAlignment="1">
      <alignment horizontal="center"/>
    </xf>
    <xf numFmtId="0" fontId="27" fillId="0" borderId="11" xfId="0" applyFont="1" applyFill="1" applyBorder="1" applyAlignment="1">
      <alignment horizontal="center"/>
    </xf>
    <xf numFmtId="0" fontId="26" fillId="2" borderId="0" xfId="0" applyFont="1" applyFill="1" applyAlignment="1">
      <alignment horizontal="left" wrapText="1"/>
    </xf>
    <xf numFmtId="0" fontId="33" fillId="0" borderId="0" xfId="0" applyFont="1" applyFill="1" applyBorder="1" applyAlignment="1">
      <alignment horizontal="center" wrapText="1"/>
    </xf>
    <xf numFmtId="0" fontId="34" fillId="2" borderId="15" xfId="0" applyFont="1" applyFill="1" applyBorder="1" applyAlignment="1">
      <alignment horizontal="center" vertical="top" textRotation="180"/>
    </xf>
    <xf numFmtId="164" fontId="26" fillId="0" borderId="36" xfId="0" applyNumberFormat="1" applyFont="1" applyFill="1" applyBorder="1" applyAlignment="1">
      <alignment horizontal="center" wrapText="1"/>
    </xf>
    <xf numFmtId="164" fontId="26" fillId="0" borderId="39" xfId="0" applyNumberFormat="1" applyFont="1" applyFill="1" applyBorder="1" applyAlignment="1">
      <alignment horizontal="center" wrapText="1"/>
    </xf>
    <xf numFmtId="164" fontId="26" fillId="0" borderId="35" xfId="0" applyNumberFormat="1" applyFont="1" applyFill="1" applyBorder="1" applyAlignment="1">
      <alignment horizontal="center" wrapText="1"/>
    </xf>
    <xf numFmtId="164" fontId="26" fillId="0" borderId="38" xfId="0" applyNumberFormat="1" applyFont="1" applyFill="1" applyBorder="1" applyAlignment="1">
      <alignment horizontal="center" wrapText="1"/>
    </xf>
    <xf numFmtId="0" fontId="27" fillId="0" borderId="22" xfId="0" applyFont="1" applyFill="1" applyBorder="1" applyAlignment="1">
      <alignment horizontal="center"/>
    </xf>
    <xf numFmtId="0" fontId="27" fillId="0" borderId="24" xfId="0" applyFont="1" applyFill="1" applyBorder="1" applyAlignment="1">
      <alignment horizontal="center"/>
    </xf>
    <xf numFmtId="0" fontId="27" fillId="0" borderId="23" xfId="0" applyFont="1" applyFill="1" applyBorder="1" applyAlignment="1">
      <alignment horizontal="center"/>
    </xf>
    <xf numFmtId="0" fontId="26" fillId="2" borderId="5" xfId="0" applyFont="1" applyFill="1" applyBorder="1" applyAlignment="1">
      <alignment horizontal="left" vertical="top"/>
    </xf>
    <xf numFmtId="0" fontId="26" fillId="2" borderId="44" xfId="0" applyFont="1" applyFill="1" applyBorder="1" applyAlignment="1">
      <alignment horizontal="left" vertical="top"/>
    </xf>
    <xf numFmtId="0" fontId="26" fillId="2" borderId="45" xfId="0" applyFont="1" applyFill="1" applyBorder="1" applyAlignment="1">
      <alignment horizontal="left" vertical="top"/>
    </xf>
    <xf numFmtId="0" fontId="43" fillId="0" borderId="0" xfId="0" applyFont="1" applyFill="1" applyAlignment="1">
      <alignment horizontal="left" vertical="top" wrapText="1"/>
    </xf>
    <xf numFmtId="0" fontId="3" fillId="0" borderId="8" xfId="0" applyFont="1" applyBorder="1" applyAlignment="1" applyProtection="1">
      <alignment horizontal="left" vertical="top"/>
      <protection locked="0" hidden="1"/>
    </xf>
    <xf numFmtId="14" fontId="3" fillId="0" borderId="8" xfId="0" applyNumberFormat="1" applyFont="1" applyBorder="1" applyAlignment="1" applyProtection="1">
      <alignment horizontal="left" vertical="top"/>
      <protection locked="0" hidden="1"/>
    </xf>
    <xf numFmtId="0" fontId="15" fillId="0" borderId="0" xfId="0" applyFont="1" applyFill="1" applyAlignment="1" applyProtection="1">
      <alignment horizontal="left" vertical="top"/>
      <protection hidden="1"/>
    </xf>
    <xf numFmtId="0" fontId="3" fillId="0" borderId="0" xfId="0" applyFont="1" applyFill="1" applyAlignment="1" applyProtection="1">
      <alignment horizontal="left" vertical="top"/>
      <protection hidden="1"/>
    </xf>
    <xf numFmtId="0" fontId="3" fillId="0" borderId="0" xfId="0" applyFont="1" applyFill="1" applyAlignment="1" applyProtection="1">
      <alignment horizontal="left" vertical="top" wrapText="1"/>
      <protection hidden="1"/>
    </xf>
    <xf numFmtId="0" fontId="3" fillId="0" borderId="0" xfId="0" applyFont="1" applyFill="1" applyAlignment="1" applyProtection="1">
      <alignment horizontal="right" vertical="center"/>
      <protection hidden="1"/>
    </xf>
    <xf numFmtId="0" fontId="0" fillId="0" borderId="13" xfId="0" applyBorder="1" applyAlignment="1" applyProtection="1">
      <alignment horizontal="left" vertical="top"/>
      <protection hidden="1"/>
    </xf>
    <xf numFmtId="0" fontId="0" fillId="0" borderId="0" xfId="0" applyBorder="1" applyAlignment="1" applyProtection="1">
      <alignment horizontal="left" vertical="top"/>
      <protection hidden="1"/>
    </xf>
    <xf numFmtId="0" fontId="47" fillId="0" borderId="0" xfId="0" applyFont="1" applyFill="1" applyAlignment="1">
      <alignment horizontal="left" vertical="top" wrapText="1"/>
    </xf>
    <xf numFmtId="0" fontId="3" fillId="0" borderId="0" xfId="0" applyFont="1" applyAlignment="1" applyProtection="1">
      <alignment horizontal="left" vertical="top" wrapText="1"/>
      <protection hidden="1"/>
    </xf>
    <xf numFmtId="0" fontId="15" fillId="0" borderId="0" xfId="0" applyFont="1" applyAlignment="1" applyProtection="1">
      <alignment horizontal="left" vertical="center"/>
      <protection hidden="1"/>
    </xf>
    <xf numFmtId="0" fontId="15" fillId="0" borderId="0" xfId="0" applyFont="1" applyAlignment="1">
      <alignment horizontal="left"/>
    </xf>
    <xf numFmtId="0" fontId="15" fillId="0" borderId="0" xfId="0" applyFont="1" applyAlignment="1" applyProtection="1">
      <alignment horizontal="left" vertical="top"/>
      <protection hidden="1"/>
    </xf>
    <xf numFmtId="0" fontId="3" fillId="0" borderId="0" xfId="0" applyFont="1" applyAlignment="1" applyProtection="1">
      <alignment horizontal="left" vertical="top"/>
      <protection hidden="1"/>
    </xf>
    <xf numFmtId="0" fontId="3" fillId="0" borderId="0" xfId="0" applyFont="1" applyAlignment="1" applyProtection="1">
      <alignment horizontal="right" vertical="center"/>
      <protection hidden="1"/>
    </xf>
    <xf numFmtId="0" fontId="3" fillId="0" borderId="0" xfId="0" applyFont="1" applyBorder="1" applyAlignment="1" applyProtection="1">
      <alignment horizontal="left" vertical="top" wrapText="1"/>
      <protection hidden="1"/>
    </xf>
    <xf numFmtId="0" fontId="3" fillId="0" borderId="0" xfId="0" applyFont="1" applyAlignment="1">
      <alignment vertical="top" wrapText="1"/>
    </xf>
    <xf numFmtId="0" fontId="10" fillId="0" borderId="0" xfId="0" applyFont="1" applyAlignment="1" applyProtection="1">
      <alignment horizontal="center" vertical="center"/>
      <protection hidden="1"/>
    </xf>
    <xf numFmtId="0" fontId="17" fillId="0" borderId="0" xfId="0" applyFont="1" applyAlignment="1" applyProtection="1">
      <alignment horizontal="center" vertical="center"/>
      <protection hidden="1"/>
    </xf>
    <xf numFmtId="0" fontId="15" fillId="0" borderId="0" xfId="0" applyFont="1" applyAlignment="1" applyProtection="1">
      <alignment horizontal="left" vertical="top" wrapText="1"/>
      <protection hidden="1"/>
    </xf>
    <xf numFmtId="0" fontId="14" fillId="0" borderId="0" xfId="0" applyFont="1" applyAlignment="1" applyProtection="1">
      <alignment horizontal="left" vertical="top" wrapText="1"/>
      <protection hidden="1"/>
    </xf>
    <xf numFmtId="0" fontId="3" fillId="0" borderId="0" xfId="0" applyFont="1" applyAlignment="1" applyProtection="1">
      <alignment horizontal="left" vertical="center" wrapText="1"/>
      <protection hidden="1"/>
    </xf>
    <xf numFmtId="0" fontId="3" fillId="0" borderId="0" xfId="0" applyFont="1" applyAlignment="1">
      <alignment horizontal="left" wrapText="1"/>
    </xf>
    <xf numFmtId="0" fontId="10" fillId="0" borderId="0" xfId="0" applyFont="1" applyAlignment="1" applyProtection="1">
      <protection hidden="1"/>
    </xf>
    <xf numFmtId="0" fontId="11" fillId="0" borderId="0" xfId="0" applyFont="1" applyAlignment="1" applyProtection="1">
      <protection hidden="1"/>
    </xf>
    <xf numFmtId="0" fontId="3" fillId="0" borderId="0" xfId="0" applyFont="1" applyFill="1" applyAlignment="1" applyProtection="1">
      <alignment horizontal="center" vertical="top"/>
      <protection hidden="1"/>
    </xf>
    <xf numFmtId="0" fontId="3" fillId="0" borderId="0" xfId="0" applyFont="1" applyAlignment="1" applyProtection="1">
      <alignment vertical="top" wrapText="1"/>
      <protection hidden="1"/>
    </xf>
    <xf numFmtId="0" fontId="3" fillId="0" borderId="0" xfId="0" applyFont="1" applyAlignment="1" applyProtection="1">
      <alignment vertical="top"/>
      <protection hidden="1"/>
    </xf>
    <xf numFmtId="0" fontId="3" fillId="0" borderId="0" xfId="0" applyFont="1" applyAlignment="1" applyProtection="1">
      <alignment horizontal="right" vertical="top"/>
      <protection hidden="1"/>
    </xf>
    <xf numFmtId="0" fontId="8" fillId="0" borderId="0" xfId="0" applyFont="1" applyAlignment="1" applyProtection="1">
      <alignment horizontal="center"/>
      <protection hidden="1"/>
    </xf>
    <xf numFmtId="0" fontId="9" fillId="0" borderId="0" xfId="0" applyFont="1" applyAlignment="1" applyProtection="1">
      <alignment horizontal="center"/>
      <protection hidden="1"/>
    </xf>
    <xf numFmtId="0" fontId="15" fillId="0" borderId="0" xfId="0" applyFont="1" applyAlignment="1" applyProtection="1">
      <alignment vertical="top"/>
      <protection hidden="1"/>
    </xf>
    <xf numFmtId="0" fontId="0" fillId="0" borderId="0" xfId="0" applyAlignment="1" applyProtection="1">
      <alignment vertical="top" wrapText="1"/>
      <protection hidden="1"/>
    </xf>
    <xf numFmtId="0" fontId="10" fillId="0" borderId="0" xfId="0" applyFont="1" applyAlignment="1" applyProtection="1">
      <alignment horizontal="left"/>
      <protection hidden="1"/>
    </xf>
    <xf numFmtId="0" fontId="11" fillId="0" borderId="0" xfId="0" applyFont="1" applyAlignment="1" applyProtection="1">
      <alignment horizontal="left"/>
      <protection hidden="1"/>
    </xf>
    <xf numFmtId="0" fontId="12" fillId="0" borderId="0" xfId="0" applyFont="1" applyAlignment="1" applyProtection="1">
      <alignment vertical="top"/>
      <protection hidden="1"/>
    </xf>
    <xf numFmtId="0" fontId="13" fillId="0" borderId="0" xfId="0" applyFont="1" applyAlignment="1" applyProtection="1">
      <alignment vertical="top"/>
      <protection hidden="1"/>
    </xf>
    <xf numFmtId="0" fontId="12" fillId="0" borderId="0" xfId="0" applyFont="1" applyAlignment="1" applyProtection="1">
      <alignment horizontal="left" vertical="top"/>
      <protection hidden="1"/>
    </xf>
    <xf numFmtId="0" fontId="32" fillId="0" borderId="0" xfId="0" applyFont="1" applyFill="1" applyBorder="1" applyAlignment="1">
      <alignment wrapText="1"/>
    </xf>
  </cellXfs>
  <cellStyles count="2">
    <cellStyle name="Hyperlink" xfId="1" builtinId="8"/>
    <cellStyle name="Normal" xfId="0" builtinId="0"/>
  </cellStyles>
  <dxfs count="28">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1"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bottom" textRotation="0" wrapText="1"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i val="0"/>
        <condense val="0"/>
        <extend val="0"/>
        <color indexed="16"/>
      </font>
    </dxf>
    <dxf>
      <font>
        <strike val="0"/>
        <outline val="0"/>
        <shadow val="0"/>
        <u val="none"/>
        <vertAlign val="baseline"/>
        <sz val="10"/>
        <color auto="1"/>
        <name val="Calibri"/>
        <scheme val="minor"/>
      </font>
    </dxf>
    <dxf>
      <border outline="0">
        <left style="medium">
          <color indexed="64"/>
        </left>
        <right style="medium">
          <color indexed="64"/>
        </right>
        <top style="medium">
          <color indexed="64"/>
        </top>
        <bottom style="medium">
          <color indexed="64"/>
        </bottom>
      </border>
    </dxf>
    <dxf>
      <fill>
        <patternFill patternType="none">
          <bgColor auto="1"/>
        </patternFill>
      </fill>
    </dxf>
    <dxf>
      <border>
        <bottom style="medium">
          <color indexed="64"/>
        </bottom>
      </border>
    </dxf>
    <dxf>
      <fill>
        <patternFill patternType="none">
          <bgColor auto="1"/>
        </patternFill>
      </fill>
      <border diagonalUp="0" diagonalDown="0">
        <left style="medium">
          <color auto="1"/>
        </left>
        <right style="medium">
          <color auto="1"/>
        </right>
        <top/>
        <bottom/>
        <vertical style="medium">
          <color auto="1"/>
        </vertical>
        <horizontal/>
      </border>
    </dxf>
    <dxf>
      <border>
        <top style="medium">
          <color auto="1"/>
        </top>
        <bottom style="medium">
          <color auto="1"/>
        </bottom>
        <horizontal style="thin">
          <color theme="0" tint="-0.499984740745262"/>
        </horizontal>
      </border>
    </dxf>
    <dxf>
      <fill>
        <patternFill>
          <bgColor theme="0" tint="-4.9989318521683403E-2"/>
        </patternFill>
      </fill>
      <border>
        <top style="medium">
          <color auto="1"/>
        </top>
        <bottom style="medium">
          <color auto="1"/>
        </bottom>
        <horizontal style="thin">
          <color theme="0" tint="-0.499984740745262"/>
        </horizontal>
      </border>
    </dxf>
    <dxf>
      <border>
        <top style="double">
          <color auto="1"/>
        </top>
      </border>
    </dxf>
  </dxfs>
  <tableStyles count="1" defaultTableStyle="TableStyleMedium2" defaultPivotStyle="PivotStyleLight16">
    <tableStyle name="Table Style 1" pivot="0" count="3">
      <tableStyleElement type="totalRow" dxfId="27"/>
      <tableStyleElement type="firstRowStripe" size="2" dxfId="26"/>
      <tableStyleElement type="secondRowStripe" size="2" dxfId="25"/>
    </tableStyle>
  </tableStyles>
  <colors>
    <mruColors>
      <color rgb="FF0000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809625</xdr:colOff>
          <xdr:row>29</xdr:row>
          <xdr:rowOff>47625</xdr:rowOff>
        </xdr:from>
        <xdr:to>
          <xdr:col>0</xdr:col>
          <xdr:colOff>3276600</xdr:colOff>
          <xdr:row>30</xdr:row>
          <xdr:rowOff>133350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Save Name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9</xdr:row>
          <xdr:rowOff>28575</xdr:rowOff>
        </xdr:from>
        <xdr:to>
          <xdr:col>1</xdr:col>
          <xdr:colOff>200025</xdr:colOff>
          <xdr:row>9</xdr:row>
          <xdr:rowOff>152400</xdr:rowOff>
        </xdr:to>
        <xdr:sp macro="" textlink="">
          <xdr:nvSpPr>
            <xdr:cNvPr id="3142" name="Check Box 70" hidden="1">
              <a:extLst>
                <a:ext uri="{63B3BB69-23CF-44E3-9099-C40C66FF867C}">
                  <a14:compatExt spid="_x0000_s314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28575</xdr:rowOff>
        </xdr:from>
        <xdr:to>
          <xdr:col>4</xdr:col>
          <xdr:colOff>19050</xdr:colOff>
          <xdr:row>9</xdr:row>
          <xdr:rowOff>152400</xdr:rowOff>
        </xdr:to>
        <xdr:sp macro="" textlink="">
          <xdr:nvSpPr>
            <xdr:cNvPr id="3143" name="Check Box 71" hidden="1">
              <a:extLst>
                <a:ext uri="{63B3BB69-23CF-44E3-9099-C40C66FF867C}">
                  <a14:compatExt spid="_x0000_s314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1</xdr:col>
          <xdr:colOff>200025</xdr:colOff>
          <xdr:row>12</xdr:row>
          <xdr:rowOff>152400</xdr:rowOff>
        </xdr:to>
        <xdr:sp macro="" textlink="">
          <xdr:nvSpPr>
            <xdr:cNvPr id="3172" name="Check Box 100" hidden="1">
              <a:extLst>
                <a:ext uri="{63B3BB69-23CF-44E3-9099-C40C66FF867C}">
                  <a14:compatExt spid="_x0000_s317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12</xdr:row>
          <xdr:rowOff>28575</xdr:rowOff>
        </xdr:from>
        <xdr:to>
          <xdr:col>4</xdr:col>
          <xdr:colOff>19050</xdr:colOff>
          <xdr:row>12</xdr:row>
          <xdr:rowOff>152400</xdr:rowOff>
        </xdr:to>
        <xdr:sp macro="" textlink="">
          <xdr:nvSpPr>
            <xdr:cNvPr id="3173" name="Check Box 101" hidden="1">
              <a:extLst>
                <a:ext uri="{63B3BB69-23CF-44E3-9099-C40C66FF867C}">
                  <a14:compatExt spid="_x0000_s317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xdr:row>
          <xdr:rowOff>28575</xdr:rowOff>
        </xdr:from>
        <xdr:to>
          <xdr:col>1</xdr:col>
          <xdr:colOff>200025</xdr:colOff>
          <xdr:row>14</xdr:row>
          <xdr:rowOff>152400</xdr:rowOff>
        </xdr:to>
        <xdr:sp macro="" textlink="">
          <xdr:nvSpPr>
            <xdr:cNvPr id="3174" name="Check Box 102" hidden="1">
              <a:extLst>
                <a:ext uri="{63B3BB69-23CF-44E3-9099-C40C66FF867C}">
                  <a14:compatExt spid="_x0000_s317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14</xdr:row>
          <xdr:rowOff>28575</xdr:rowOff>
        </xdr:from>
        <xdr:to>
          <xdr:col>4</xdr:col>
          <xdr:colOff>19050</xdr:colOff>
          <xdr:row>14</xdr:row>
          <xdr:rowOff>152400</xdr:rowOff>
        </xdr:to>
        <xdr:sp macro="" textlink="">
          <xdr:nvSpPr>
            <xdr:cNvPr id="3175" name="Check Box 103" hidden="1">
              <a:extLst>
                <a:ext uri="{63B3BB69-23CF-44E3-9099-C40C66FF867C}">
                  <a14:compatExt spid="_x0000_s317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28575</xdr:rowOff>
        </xdr:from>
        <xdr:to>
          <xdr:col>1</xdr:col>
          <xdr:colOff>200025</xdr:colOff>
          <xdr:row>34</xdr:row>
          <xdr:rowOff>152400</xdr:rowOff>
        </xdr:to>
        <xdr:sp macro="" textlink="">
          <xdr:nvSpPr>
            <xdr:cNvPr id="3178" name="Check Box 106" hidden="1">
              <a:extLst>
                <a:ext uri="{63B3BB69-23CF-44E3-9099-C40C66FF867C}">
                  <a14:compatExt spid="_x0000_s317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34</xdr:row>
          <xdr:rowOff>28575</xdr:rowOff>
        </xdr:from>
        <xdr:to>
          <xdr:col>4</xdr:col>
          <xdr:colOff>19050</xdr:colOff>
          <xdr:row>34</xdr:row>
          <xdr:rowOff>152400</xdr:rowOff>
        </xdr:to>
        <xdr:sp macro="" textlink="">
          <xdr:nvSpPr>
            <xdr:cNvPr id="3179" name="Check Box 107" hidden="1">
              <a:extLst>
                <a:ext uri="{63B3BB69-23CF-44E3-9099-C40C66FF867C}">
                  <a14:compatExt spid="_x0000_s317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28575</xdr:rowOff>
        </xdr:from>
        <xdr:to>
          <xdr:col>1</xdr:col>
          <xdr:colOff>200025</xdr:colOff>
          <xdr:row>35</xdr:row>
          <xdr:rowOff>152400</xdr:rowOff>
        </xdr:to>
        <xdr:sp macro="" textlink="">
          <xdr:nvSpPr>
            <xdr:cNvPr id="3180" name="Check Box 108" hidden="1">
              <a:extLst>
                <a:ext uri="{63B3BB69-23CF-44E3-9099-C40C66FF867C}">
                  <a14:compatExt spid="_x0000_s31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35</xdr:row>
          <xdr:rowOff>28575</xdr:rowOff>
        </xdr:from>
        <xdr:to>
          <xdr:col>4</xdr:col>
          <xdr:colOff>19050</xdr:colOff>
          <xdr:row>35</xdr:row>
          <xdr:rowOff>152400</xdr:rowOff>
        </xdr:to>
        <xdr:sp macro="" textlink="">
          <xdr:nvSpPr>
            <xdr:cNvPr id="3181" name="Check Box 109" hidden="1">
              <a:extLst>
                <a:ext uri="{63B3BB69-23CF-44E3-9099-C40C66FF867C}">
                  <a14:compatExt spid="_x0000_s318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28575</xdr:rowOff>
        </xdr:from>
        <xdr:to>
          <xdr:col>1</xdr:col>
          <xdr:colOff>200025</xdr:colOff>
          <xdr:row>36</xdr:row>
          <xdr:rowOff>152400</xdr:rowOff>
        </xdr:to>
        <xdr:sp macro="" textlink="">
          <xdr:nvSpPr>
            <xdr:cNvPr id="3182" name="Check Box 110" hidden="1">
              <a:extLst>
                <a:ext uri="{63B3BB69-23CF-44E3-9099-C40C66FF867C}">
                  <a14:compatExt spid="_x0000_s318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36</xdr:row>
          <xdr:rowOff>28575</xdr:rowOff>
        </xdr:from>
        <xdr:to>
          <xdr:col>4</xdr:col>
          <xdr:colOff>19050</xdr:colOff>
          <xdr:row>36</xdr:row>
          <xdr:rowOff>152400</xdr:rowOff>
        </xdr:to>
        <xdr:sp macro="" textlink="">
          <xdr:nvSpPr>
            <xdr:cNvPr id="3183" name="Check Box 111" hidden="1">
              <a:extLst>
                <a:ext uri="{63B3BB69-23CF-44E3-9099-C40C66FF867C}">
                  <a14:compatExt spid="_x0000_s318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28575</xdr:rowOff>
        </xdr:from>
        <xdr:to>
          <xdr:col>1</xdr:col>
          <xdr:colOff>200025</xdr:colOff>
          <xdr:row>37</xdr:row>
          <xdr:rowOff>152400</xdr:rowOff>
        </xdr:to>
        <xdr:sp macro="" textlink="">
          <xdr:nvSpPr>
            <xdr:cNvPr id="3184" name="Check Box 112" hidden="1">
              <a:extLst>
                <a:ext uri="{63B3BB69-23CF-44E3-9099-C40C66FF867C}">
                  <a14:compatExt spid="_x0000_s318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37</xdr:row>
          <xdr:rowOff>28575</xdr:rowOff>
        </xdr:from>
        <xdr:to>
          <xdr:col>4</xdr:col>
          <xdr:colOff>19050</xdr:colOff>
          <xdr:row>37</xdr:row>
          <xdr:rowOff>152400</xdr:rowOff>
        </xdr:to>
        <xdr:sp macro="" textlink="">
          <xdr:nvSpPr>
            <xdr:cNvPr id="3185" name="Check Box 113" hidden="1">
              <a:extLst>
                <a:ext uri="{63B3BB69-23CF-44E3-9099-C40C66FF867C}">
                  <a14:compatExt spid="_x0000_s318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28575</xdr:rowOff>
        </xdr:from>
        <xdr:to>
          <xdr:col>1</xdr:col>
          <xdr:colOff>200025</xdr:colOff>
          <xdr:row>37</xdr:row>
          <xdr:rowOff>152400</xdr:rowOff>
        </xdr:to>
        <xdr:sp macro="" textlink="">
          <xdr:nvSpPr>
            <xdr:cNvPr id="3186" name="Check Box 114" hidden="1">
              <a:extLst>
                <a:ext uri="{63B3BB69-23CF-44E3-9099-C40C66FF867C}">
                  <a14:compatExt spid="_x0000_s318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37</xdr:row>
          <xdr:rowOff>28575</xdr:rowOff>
        </xdr:from>
        <xdr:to>
          <xdr:col>4</xdr:col>
          <xdr:colOff>19050</xdr:colOff>
          <xdr:row>37</xdr:row>
          <xdr:rowOff>152400</xdr:rowOff>
        </xdr:to>
        <xdr:sp macro="" textlink="">
          <xdr:nvSpPr>
            <xdr:cNvPr id="3187" name="Check Box 115" hidden="1">
              <a:extLst>
                <a:ext uri="{63B3BB69-23CF-44E3-9099-C40C66FF867C}">
                  <a14:compatExt spid="_x0000_s318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28575</xdr:rowOff>
        </xdr:from>
        <xdr:to>
          <xdr:col>1</xdr:col>
          <xdr:colOff>200025</xdr:colOff>
          <xdr:row>49</xdr:row>
          <xdr:rowOff>152400</xdr:rowOff>
        </xdr:to>
        <xdr:sp macro="" textlink="">
          <xdr:nvSpPr>
            <xdr:cNvPr id="3188" name="Check Box 116" hidden="1">
              <a:extLst>
                <a:ext uri="{63B3BB69-23CF-44E3-9099-C40C66FF867C}">
                  <a14:compatExt spid="_x0000_s318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49</xdr:row>
          <xdr:rowOff>28575</xdr:rowOff>
        </xdr:from>
        <xdr:to>
          <xdr:col>4</xdr:col>
          <xdr:colOff>19050</xdr:colOff>
          <xdr:row>49</xdr:row>
          <xdr:rowOff>152400</xdr:rowOff>
        </xdr:to>
        <xdr:sp macro="" textlink="">
          <xdr:nvSpPr>
            <xdr:cNvPr id="3189" name="Check Box 117" hidden="1">
              <a:extLst>
                <a:ext uri="{63B3BB69-23CF-44E3-9099-C40C66FF867C}">
                  <a14:compatExt spid="_x0000_s318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28575</xdr:rowOff>
        </xdr:from>
        <xdr:to>
          <xdr:col>1</xdr:col>
          <xdr:colOff>200025</xdr:colOff>
          <xdr:row>59</xdr:row>
          <xdr:rowOff>152400</xdr:rowOff>
        </xdr:to>
        <xdr:sp macro="" textlink="">
          <xdr:nvSpPr>
            <xdr:cNvPr id="3190" name="Check Box 118" hidden="1">
              <a:extLst>
                <a:ext uri="{63B3BB69-23CF-44E3-9099-C40C66FF867C}">
                  <a14:compatExt spid="_x0000_s319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59</xdr:row>
          <xdr:rowOff>28575</xdr:rowOff>
        </xdr:from>
        <xdr:to>
          <xdr:col>4</xdr:col>
          <xdr:colOff>19050</xdr:colOff>
          <xdr:row>59</xdr:row>
          <xdr:rowOff>152400</xdr:rowOff>
        </xdr:to>
        <xdr:sp macro="" textlink="">
          <xdr:nvSpPr>
            <xdr:cNvPr id="3191" name="Check Box 119" hidden="1">
              <a:extLst>
                <a:ext uri="{63B3BB69-23CF-44E3-9099-C40C66FF867C}">
                  <a14:compatExt spid="_x0000_s319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63</xdr:row>
          <xdr:rowOff>28575</xdr:rowOff>
        </xdr:from>
        <xdr:to>
          <xdr:col>1</xdr:col>
          <xdr:colOff>200025</xdr:colOff>
          <xdr:row>63</xdr:row>
          <xdr:rowOff>152400</xdr:rowOff>
        </xdr:to>
        <xdr:sp macro="" textlink="">
          <xdr:nvSpPr>
            <xdr:cNvPr id="3192" name="Check Box 120" hidden="1">
              <a:extLst>
                <a:ext uri="{63B3BB69-23CF-44E3-9099-C40C66FF867C}">
                  <a14:compatExt spid="_x0000_s319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63</xdr:row>
          <xdr:rowOff>28575</xdr:rowOff>
        </xdr:from>
        <xdr:to>
          <xdr:col>4</xdr:col>
          <xdr:colOff>19050</xdr:colOff>
          <xdr:row>63</xdr:row>
          <xdr:rowOff>152400</xdr:rowOff>
        </xdr:to>
        <xdr:sp macro="" textlink="">
          <xdr:nvSpPr>
            <xdr:cNvPr id="3193" name="Check Box 121" hidden="1">
              <a:extLst>
                <a:ext uri="{63B3BB69-23CF-44E3-9099-C40C66FF867C}">
                  <a14:compatExt spid="_x0000_s319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28575</xdr:rowOff>
        </xdr:from>
        <xdr:to>
          <xdr:col>1</xdr:col>
          <xdr:colOff>200025</xdr:colOff>
          <xdr:row>67</xdr:row>
          <xdr:rowOff>152400</xdr:rowOff>
        </xdr:to>
        <xdr:sp macro="" textlink="">
          <xdr:nvSpPr>
            <xdr:cNvPr id="3194" name="Check Box 122" hidden="1">
              <a:extLst>
                <a:ext uri="{63B3BB69-23CF-44E3-9099-C40C66FF867C}">
                  <a14:compatExt spid="_x0000_s319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67</xdr:row>
          <xdr:rowOff>28575</xdr:rowOff>
        </xdr:from>
        <xdr:to>
          <xdr:col>4</xdr:col>
          <xdr:colOff>19050</xdr:colOff>
          <xdr:row>67</xdr:row>
          <xdr:rowOff>152400</xdr:rowOff>
        </xdr:to>
        <xdr:sp macro="" textlink="">
          <xdr:nvSpPr>
            <xdr:cNvPr id="3195" name="Check Box 123" hidden="1">
              <a:extLst>
                <a:ext uri="{63B3BB69-23CF-44E3-9099-C40C66FF867C}">
                  <a14:compatExt spid="_x0000_s319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75</xdr:row>
          <xdr:rowOff>28575</xdr:rowOff>
        </xdr:from>
        <xdr:to>
          <xdr:col>1</xdr:col>
          <xdr:colOff>200025</xdr:colOff>
          <xdr:row>75</xdr:row>
          <xdr:rowOff>152400</xdr:rowOff>
        </xdr:to>
        <xdr:sp macro="" textlink="">
          <xdr:nvSpPr>
            <xdr:cNvPr id="3196" name="Check Box 124" hidden="1">
              <a:extLst>
                <a:ext uri="{63B3BB69-23CF-44E3-9099-C40C66FF867C}">
                  <a14:compatExt spid="_x0000_s319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75</xdr:row>
          <xdr:rowOff>28575</xdr:rowOff>
        </xdr:from>
        <xdr:to>
          <xdr:col>4</xdr:col>
          <xdr:colOff>19050</xdr:colOff>
          <xdr:row>75</xdr:row>
          <xdr:rowOff>152400</xdr:rowOff>
        </xdr:to>
        <xdr:sp macro="" textlink="">
          <xdr:nvSpPr>
            <xdr:cNvPr id="3197" name="Check Box 125" hidden="1">
              <a:extLst>
                <a:ext uri="{63B3BB69-23CF-44E3-9099-C40C66FF867C}">
                  <a14:compatExt spid="_x0000_s319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82</xdr:row>
          <xdr:rowOff>28575</xdr:rowOff>
        </xdr:from>
        <xdr:to>
          <xdr:col>1</xdr:col>
          <xdr:colOff>200025</xdr:colOff>
          <xdr:row>82</xdr:row>
          <xdr:rowOff>152400</xdr:rowOff>
        </xdr:to>
        <xdr:sp macro="" textlink="">
          <xdr:nvSpPr>
            <xdr:cNvPr id="3198" name="Check Box 126" hidden="1">
              <a:extLst>
                <a:ext uri="{63B3BB69-23CF-44E3-9099-C40C66FF867C}">
                  <a14:compatExt spid="_x0000_s319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82</xdr:row>
          <xdr:rowOff>28575</xdr:rowOff>
        </xdr:from>
        <xdr:to>
          <xdr:col>4</xdr:col>
          <xdr:colOff>19050</xdr:colOff>
          <xdr:row>82</xdr:row>
          <xdr:rowOff>152400</xdr:rowOff>
        </xdr:to>
        <xdr:sp macro="" textlink="">
          <xdr:nvSpPr>
            <xdr:cNvPr id="3199" name="Check Box 127" hidden="1">
              <a:extLst>
                <a:ext uri="{63B3BB69-23CF-44E3-9099-C40C66FF867C}">
                  <a14:compatExt spid="_x0000_s319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90</xdr:row>
          <xdr:rowOff>28575</xdr:rowOff>
        </xdr:from>
        <xdr:to>
          <xdr:col>1</xdr:col>
          <xdr:colOff>200025</xdr:colOff>
          <xdr:row>90</xdr:row>
          <xdr:rowOff>152400</xdr:rowOff>
        </xdr:to>
        <xdr:sp macro="" textlink="">
          <xdr:nvSpPr>
            <xdr:cNvPr id="3200" name="Check Box 128" hidden="1">
              <a:extLst>
                <a:ext uri="{63B3BB69-23CF-44E3-9099-C40C66FF867C}">
                  <a14:compatExt spid="_x0000_s3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90</xdr:row>
          <xdr:rowOff>28575</xdr:rowOff>
        </xdr:from>
        <xdr:to>
          <xdr:col>4</xdr:col>
          <xdr:colOff>19050</xdr:colOff>
          <xdr:row>90</xdr:row>
          <xdr:rowOff>152400</xdr:rowOff>
        </xdr:to>
        <xdr:sp macro="" textlink="">
          <xdr:nvSpPr>
            <xdr:cNvPr id="3201" name="Check Box 129" hidden="1">
              <a:extLst>
                <a:ext uri="{63B3BB69-23CF-44E3-9099-C40C66FF867C}">
                  <a14:compatExt spid="_x0000_s320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28575</xdr:rowOff>
        </xdr:from>
        <xdr:to>
          <xdr:col>1</xdr:col>
          <xdr:colOff>200025</xdr:colOff>
          <xdr:row>91</xdr:row>
          <xdr:rowOff>152400</xdr:rowOff>
        </xdr:to>
        <xdr:sp macro="" textlink="">
          <xdr:nvSpPr>
            <xdr:cNvPr id="3202" name="Check Box 130" hidden="1">
              <a:extLst>
                <a:ext uri="{63B3BB69-23CF-44E3-9099-C40C66FF867C}">
                  <a14:compatExt spid="_x0000_s320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91</xdr:row>
          <xdr:rowOff>28575</xdr:rowOff>
        </xdr:from>
        <xdr:to>
          <xdr:col>4</xdr:col>
          <xdr:colOff>19050</xdr:colOff>
          <xdr:row>91</xdr:row>
          <xdr:rowOff>152400</xdr:rowOff>
        </xdr:to>
        <xdr:sp macro="" textlink="">
          <xdr:nvSpPr>
            <xdr:cNvPr id="3203" name="Check Box 131" hidden="1">
              <a:extLst>
                <a:ext uri="{63B3BB69-23CF-44E3-9099-C40C66FF867C}">
                  <a14:compatExt spid="_x0000_s320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99</xdr:row>
          <xdr:rowOff>28575</xdr:rowOff>
        </xdr:from>
        <xdr:to>
          <xdr:col>1</xdr:col>
          <xdr:colOff>200025</xdr:colOff>
          <xdr:row>99</xdr:row>
          <xdr:rowOff>152400</xdr:rowOff>
        </xdr:to>
        <xdr:sp macro="" textlink="">
          <xdr:nvSpPr>
            <xdr:cNvPr id="3204" name="Check Box 132" hidden="1">
              <a:extLst>
                <a:ext uri="{63B3BB69-23CF-44E3-9099-C40C66FF867C}">
                  <a14:compatExt spid="_x0000_s320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99</xdr:row>
          <xdr:rowOff>28575</xdr:rowOff>
        </xdr:from>
        <xdr:to>
          <xdr:col>4</xdr:col>
          <xdr:colOff>19050</xdr:colOff>
          <xdr:row>99</xdr:row>
          <xdr:rowOff>152400</xdr:rowOff>
        </xdr:to>
        <xdr:sp macro="" textlink="">
          <xdr:nvSpPr>
            <xdr:cNvPr id="3205" name="Check Box 133" hidden="1">
              <a:extLst>
                <a:ext uri="{63B3BB69-23CF-44E3-9099-C40C66FF867C}">
                  <a14:compatExt spid="_x0000_s320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28575</xdr:rowOff>
        </xdr:from>
        <xdr:to>
          <xdr:col>1</xdr:col>
          <xdr:colOff>200025</xdr:colOff>
          <xdr:row>114</xdr:row>
          <xdr:rowOff>152400</xdr:rowOff>
        </xdr:to>
        <xdr:sp macro="" textlink="">
          <xdr:nvSpPr>
            <xdr:cNvPr id="3206" name="Check Box 134" hidden="1">
              <a:extLst>
                <a:ext uri="{63B3BB69-23CF-44E3-9099-C40C66FF867C}">
                  <a14:compatExt spid="_x0000_s320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114</xdr:row>
          <xdr:rowOff>28575</xdr:rowOff>
        </xdr:from>
        <xdr:to>
          <xdr:col>4</xdr:col>
          <xdr:colOff>19050</xdr:colOff>
          <xdr:row>114</xdr:row>
          <xdr:rowOff>152400</xdr:rowOff>
        </xdr:to>
        <xdr:sp macro="" textlink="">
          <xdr:nvSpPr>
            <xdr:cNvPr id="3207" name="Check Box 135" hidden="1">
              <a:extLst>
                <a:ext uri="{63B3BB69-23CF-44E3-9099-C40C66FF867C}">
                  <a14:compatExt spid="_x0000_s320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23</xdr:row>
          <xdr:rowOff>28575</xdr:rowOff>
        </xdr:from>
        <xdr:to>
          <xdr:col>5</xdr:col>
          <xdr:colOff>95250</xdr:colOff>
          <xdr:row>23</xdr:row>
          <xdr:rowOff>152400</xdr:rowOff>
        </xdr:to>
        <xdr:sp macro="" textlink="">
          <xdr:nvSpPr>
            <xdr:cNvPr id="3208" name="Check Box 136" hidden="1">
              <a:extLst>
                <a:ext uri="{63B3BB69-23CF-44E3-9099-C40C66FF867C}">
                  <a14:compatExt spid="_x0000_s320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24</xdr:row>
          <xdr:rowOff>28575</xdr:rowOff>
        </xdr:from>
        <xdr:to>
          <xdr:col>5</xdr:col>
          <xdr:colOff>95250</xdr:colOff>
          <xdr:row>24</xdr:row>
          <xdr:rowOff>152400</xdr:rowOff>
        </xdr:to>
        <xdr:sp macro="" textlink="">
          <xdr:nvSpPr>
            <xdr:cNvPr id="3209" name="Check Box 137" hidden="1">
              <a:extLst>
                <a:ext uri="{63B3BB69-23CF-44E3-9099-C40C66FF867C}">
                  <a14:compatExt spid="_x0000_s320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27</xdr:row>
          <xdr:rowOff>28575</xdr:rowOff>
        </xdr:from>
        <xdr:to>
          <xdr:col>5</xdr:col>
          <xdr:colOff>95250</xdr:colOff>
          <xdr:row>27</xdr:row>
          <xdr:rowOff>152400</xdr:rowOff>
        </xdr:to>
        <xdr:sp macro="" textlink="">
          <xdr:nvSpPr>
            <xdr:cNvPr id="3210" name="Check Box 138" hidden="1">
              <a:extLst>
                <a:ext uri="{63B3BB69-23CF-44E3-9099-C40C66FF867C}">
                  <a14:compatExt spid="_x0000_s321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 name="CE_Details" displayName="CE_Details" ref="G10:Y77" totalsRowCount="1" headerRowDxfId="24" dataDxfId="22" totalsRowDxfId="20" headerRowBorderDxfId="23" tableBorderDxfId="21">
  <tableColumns count="19">
    <tableColumn id="1" name="Date" totalsRowLabel="Total" totalsRowDxfId="18"/>
    <tableColumn id="2" name="Length (Minutes)" totalsRowFunction="sum" totalsRowDxfId="17"/>
    <tableColumn id="3" name="Organized_x000a_Activity" totalsRowDxfId="16"/>
    <tableColumn id="4" name="Profession- alism" totalsRowDxfId="15"/>
    <tableColumn id="20" name="General Business Courses" totalsRowDxfId="14"/>
    <tableColumn id="5" name="Discipline Relevant" totalsRowDxfId="13"/>
    <tableColumn id="7" name="LAH _x000a_Specific Qualifications" totalsRowFunction="custom" totalsRowDxfId="12">
      <totalsRowFormula>SUBTOTAL(109,CE_Details[Length (Minutes)])</totalsRowFormula>
    </tableColumn>
    <tableColumn id="8" name="Health Specific Qualifications" totalsRowFunction="custom" totalsRowDxfId="11">
      <totalsRowFormula>SUBTOTAL(109,CE_Details[Length (Minutes)])</totalsRowFormula>
    </tableColumn>
    <tableColumn id="9" name="Filler" totalsRowFunction="custom" totalsRowDxfId="10">
      <totalsRowFormula>SUBTOTAL(109,CE_Details[Length (Minutes)])</totalsRowFormula>
    </tableColumn>
    <tableColumn id="10" name="Organized Activity_" totalsRowFunction="sum" totalsRowDxfId="9"/>
    <tableColumn id="11" name="Profession- alism_" totalsRowFunction="sum" totalsRowDxfId="8"/>
    <tableColumn id="12" name="General Business_" totalsRowFunction="sum" totalsRowDxfId="7"/>
    <tableColumn id="13" name="Discipline Relevant_" totalsRowFunction="sum" totalsRowDxfId="6"/>
    <tableColumn id="14" name="Total" totalsRowFunction="sum" totalsRowDxfId="5">
      <calculatedColumnFormula>IF(OR(UPPER(J11="X"),UPPER(L11)="X",UPPER(K11)="X",NOT(M11="")),H11/50,"-")</calculatedColumnFormula>
    </tableColumn>
    <tableColumn id="15" name="CE Activity Title/Description" totalsRowDxfId="4"/>
    <tableColumn id="16" name="Activity Type" totalsRowDxfId="3"/>
    <tableColumn id="17" name="Sponsoring Org_x000a_ (SOA, AAA, etc.)" totalsRowDxfId="2"/>
    <tableColumn id="18" name="Presenter(s)" totalsRowDxfId="1"/>
    <tableColumn id="19" name="Notes/Overview (optional but recommended)" totalsRowDxfId="0"/>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Humana">
      <a:dk1>
        <a:sysClr val="windowText" lastClr="000000"/>
      </a:dk1>
      <a:lt1>
        <a:sysClr val="window" lastClr="FFFFFF"/>
      </a:lt1>
      <a:dk2>
        <a:srgbClr val="78BE20"/>
      </a:dk2>
      <a:lt2>
        <a:srgbClr val="AF0061"/>
      </a:lt2>
      <a:accent1>
        <a:srgbClr val="4A7729"/>
      </a:accent1>
      <a:accent2>
        <a:srgbClr val="66BBC6"/>
      </a:accent2>
      <a:accent3>
        <a:srgbClr val="FB5373"/>
      </a:accent3>
      <a:accent4>
        <a:srgbClr val="FFC600"/>
      </a:accent4>
      <a:accent5>
        <a:srgbClr val="007481"/>
      </a:accent5>
      <a:accent6>
        <a:srgbClr val="61216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3" Type="http://schemas.openxmlformats.org/officeDocument/2006/relationships/vmlDrawing" Target="../drawings/vmlDrawing3.v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attest.actuary.org/" TargetMode="External"/><Relationship Id="rId3" Type="http://schemas.openxmlformats.org/officeDocument/2006/relationships/hyperlink" Target="http://www.actuary.org/professionalism/faqs-revised-qualification-standards" TargetMode="External"/><Relationship Id="rId7" Type="http://schemas.openxmlformats.org/officeDocument/2006/relationships/hyperlink" Target="../AppData/Local/Microsoft/Windows/INetCache/Content.Outlook/AppData/Local/Microsoft/Windows/INetCache/Content.Outlook/_layouts/PowerPoint.aspx" TargetMode="External"/><Relationship Id="rId2" Type="http://schemas.openxmlformats.org/officeDocument/2006/relationships/hyperlink" Target="http://www.actuarialstandardsboard.org/standards-of-practice/" TargetMode="External"/><Relationship Id="rId1" Type="http://schemas.openxmlformats.org/officeDocument/2006/relationships/hyperlink" Target="http://www.actuarialstandardsboard.org/code-professional-conduct/" TargetMode="External"/><Relationship Id="rId6" Type="http://schemas.openxmlformats.org/officeDocument/2006/relationships/hyperlink" Target="../AppData/Local/Microsoft/Windows/INetCache/Content.Outlook/AppData/Local/Microsoft/Windows/INetCache/Content.Outlook/9BG0SJ0B/Continuing%20Education%20FAQs%20March%202018.docx" TargetMode="External"/><Relationship Id="rId5" Type="http://schemas.openxmlformats.org/officeDocument/2006/relationships/hyperlink" Target="../AppData/Local/Microsoft/Windows/INetCache/Content.Outlook/AppData/Local/Microsoft/Windows/INetCache/Content.Outlook/Credentialed%20Central/Forms/AllItems.aspx" TargetMode="External"/><Relationship Id="rId4" Type="http://schemas.openxmlformats.org/officeDocument/2006/relationships/hyperlink" Target="http://actuary.org/files/imce/qualification_standards.pdf" TargetMode="External"/><Relationship Id="rId9"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F61"/>
  <sheetViews>
    <sheetView zoomScale="115" zoomScaleNormal="115" workbookViewId="0">
      <selection activeCell="A10" sqref="A10"/>
    </sheetView>
  </sheetViews>
  <sheetFormatPr defaultColWidth="9.140625" defaultRowHeight="12.75" x14ac:dyDescent="0.2"/>
  <cols>
    <col min="1" max="1" width="80.5703125" style="192" customWidth="1"/>
    <col min="2" max="2" width="20.140625" style="192" bestFit="1" customWidth="1"/>
    <col min="3" max="3" width="9.140625" style="192"/>
    <col min="4" max="4" width="11.140625" style="192" bestFit="1" customWidth="1"/>
    <col min="5" max="5" width="9.140625" style="192"/>
    <col min="6" max="6" width="14.42578125" style="192" bestFit="1" customWidth="1"/>
    <col min="7" max="16384" width="9.140625" style="192"/>
  </cols>
  <sheetData>
    <row r="1" spans="1:6" ht="24" thickBot="1" x14ac:dyDescent="0.25">
      <c r="A1" s="191" t="str">
        <f>"Humana CE tracking for credits earned in "&amp;TemplateYear</f>
        <v>Humana CE tracking for credits earned in 2021</v>
      </c>
      <c r="B1" s="191"/>
      <c r="C1" s="191"/>
      <c r="D1" s="191"/>
      <c r="E1" s="191"/>
      <c r="F1" s="191"/>
    </row>
    <row r="2" spans="1:6" x14ac:dyDescent="0.2">
      <c r="A2" s="193" t="s">
        <v>206</v>
      </c>
      <c r="B2" s="194"/>
    </row>
    <row r="3" spans="1:6" x14ac:dyDescent="0.2">
      <c r="A3" s="195" t="s">
        <v>215</v>
      </c>
      <c r="B3" s="196"/>
    </row>
    <row r="4" spans="1:6" x14ac:dyDescent="0.2">
      <c r="A4" s="197" t="s">
        <v>140</v>
      </c>
      <c r="B4" s="196">
        <v>2021</v>
      </c>
    </row>
    <row r="5" spans="1:6" x14ac:dyDescent="0.2">
      <c r="A5" s="197" t="s">
        <v>141</v>
      </c>
      <c r="B5" s="196">
        <f>B4+1</f>
        <v>2022</v>
      </c>
    </row>
    <row r="6" spans="1:6" x14ac:dyDescent="0.2">
      <c r="A6" s="197" t="s">
        <v>204</v>
      </c>
      <c r="B6" s="198" t="s">
        <v>218</v>
      </c>
    </row>
    <row r="7" spans="1:6" x14ac:dyDescent="0.2">
      <c r="A7" s="197" t="s">
        <v>205</v>
      </c>
      <c r="B7" s="198" t="s">
        <v>219</v>
      </c>
    </row>
    <row r="8" spans="1:6" x14ac:dyDescent="0.2">
      <c r="A8" s="197" t="s">
        <v>149</v>
      </c>
      <c r="B8" s="198" t="s">
        <v>231</v>
      </c>
    </row>
    <row r="9" spans="1:6" x14ac:dyDescent="0.2">
      <c r="A9" s="197" t="s">
        <v>71</v>
      </c>
      <c r="B9" s="198" t="s">
        <v>231</v>
      </c>
    </row>
    <row r="10" spans="1:6" x14ac:dyDescent="0.2">
      <c r="A10" s="197" t="s">
        <v>67</v>
      </c>
      <c r="B10" s="223" t="s">
        <v>231</v>
      </c>
    </row>
    <row r="11" spans="1:6" x14ac:dyDescent="0.2">
      <c r="A11" s="197" t="s">
        <v>68</v>
      </c>
      <c r="B11" s="198" t="s">
        <v>159</v>
      </c>
    </row>
    <row r="12" spans="1:6" x14ac:dyDescent="0.2">
      <c r="A12" s="197" t="s">
        <v>69</v>
      </c>
      <c r="B12" s="198" t="s">
        <v>231</v>
      </c>
    </row>
    <row r="13" spans="1:6" x14ac:dyDescent="0.2">
      <c r="A13" s="197" t="str">
        <f>"Did a Humana Reviewer approve your "&amp;TemplateYear-1&amp;" tracking report?"</f>
        <v>Did a Humana Reviewer approve your 2020 tracking report?</v>
      </c>
      <c r="B13" s="198" t="s">
        <v>231</v>
      </c>
    </row>
    <row r="14" spans="1:6" x14ac:dyDescent="0.2">
      <c r="A14" s="197" t="str">
        <f>"If so, who approved your "&amp;TemplateYear-1&amp;" report?"</f>
        <v>If so, who approved your 2020 report?</v>
      </c>
      <c r="B14" s="198" t="s">
        <v>231</v>
      </c>
    </row>
    <row r="15" spans="1:6" ht="13.5" thickBot="1" x14ac:dyDescent="0.25">
      <c r="A15" s="199" t="s">
        <v>129</v>
      </c>
      <c r="B15" s="132" t="s">
        <v>231</v>
      </c>
    </row>
    <row r="16" spans="1:6" x14ac:dyDescent="0.2">
      <c r="A16" s="200"/>
      <c r="B16" s="201"/>
    </row>
    <row r="17" spans="1:2" ht="13.5" thickBot="1" x14ac:dyDescent="0.25">
      <c r="A17" s="202" t="s">
        <v>199</v>
      </c>
      <c r="B17" s="203"/>
    </row>
    <row r="18" spans="1:2" x14ac:dyDescent="0.2">
      <c r="A18" s="200"/>
      <c r="B18" s="201"/>
    </row>
    <row r="19" spans="1:2" ht="38.25" x14ac:dyDescent="0.2">
      <c r="A19" s="204" t="s">
        <v>210</v>
      </c>
      <c r="B19" s="201"/>
    </row>
    <row r="20" spans="1:2" ht="40.5" x14ac:dyDescent="0.2">
      <c r="A20" s="206" t="s">
        <v>211</v>
      </c>
      <c r="B20" s="205"/>
    </row>
    <row r="21" spans="1:2" ht="53.25" x14ac:dyDescent="0.2">
      <c r="A21" s="215" t="s">
        <v>209</v>
      </c>
    </row>
    <row r="22" spans="1:2" ht="51" x14ac:dyDescent="0.2">
      <c r="A22" s="206" t="s">
        <v>212</v>
      </c>
      <c r="B22" s="205"/>
    </row>
    <row r="23" spans="1:2" ht="38.25" x14ac:dyDescent="0.2">
      <c r="A23" s="206" t="s">
        <v>216</v>
      </c>
      <c r="B23" s="205"/>
    </row>
    <row r="24" spans="1:2" ht="25.5" customHeight="1" x14ac:dyDescent="0.2">
      <c r="A24" s="206" t="s">
        <v>213</v>
      </c>
      <c r="B24" s="205"/>
    </row>
    <row r="25" spans="1:2" ht="25.5" x14ac:dyDescent="0.2">
      <c r="A25" s="207" t="s">
        <v>217</v>
      </c>
      <c r="B25" s="205"/>
    </row>
    <row r="27" spans="1:2" ht="13.5" thickBot="1" x14ac:dyDescent="0.25">
      <c r="A27" s="202" t="s">
        <v>4</v>
      </c>
      <c r="B27" s="208"/>
    </row>
    <row r="28" spans="1:2" x14ac:dyDescent="0.2">
      <c r="A28" s="200"/>
      <c r="B28" s="209"/>
    </row>
    <row r="29" spans="1:2" ht="25.5" x14ac:dyDescent="0.2">
      <c r="A29" s="206" t="s">
        <v>239</v>
      </c>
    </row>
    <row r="30" spans="1:2" x14ac:dyDescent="0.2">
      <c r="A30" s="211"/>
    </row>
    <row r="31" spans="1:2" x14ac:dyDescent="0.2">
      <c r="A31" s="211"/>
    </row>
    <row r="32" spans="1:2" x14ac:dyDescent="0.2">
      <c r="A32" s="212" t="s">
        <v>214</v>
      </c>
    </row>
    <row r="33" spans="1:2" x14ac:dyDescent="0.2">
      <c r="B33" s="201"/>
    </row>
    <row r="34" spans="1:2" x14ac:dyDescent="0.2">
      <c r="A34" s="213" t="s">
        <v>198</v>
      </c>
      <c r="B34" s="201"/>
    </row>
    <row r="35" spans="1:2" x14ac:dyDescent="0.2">
      <c r="A35" s="210" t="s">
        <v>240</v>
      </c>
      <c r="B35" s="201"/>
    </row>
    <row r="36" spans="1:2" x14ac:dyDescent="0.2">
      <c r="A36" s="210" t="s">
        <v>207</v>
      </c>
      <c r="B36" s="201"/>
    </row>
    <row r="37" spans="1:2" x14ac:dyDescent="0.2">
      <c r="A37" s="210" t="str">
        <f>"Enter tracking hours on the '"&amp;TemplateYear&amp;" CE Credits' worksheet - detailed instructions are provided on that sheet"</f>
        <v>Enter tracking hours on the '2021 CE Credits' worksheet - detailed instructions are provided on that sheet</v>
      </c>
      <c r="B37" s="201"/>
    </row>
    <row r="38" spans="1:2" x14ac:dyDescent="0.2">
      <c r="A38" s="210" t="str">
        <f>"Each activity/session should have its own row on the '"&amp;TemplateYear&amp;" CE Credits' worksheet"</f>
        <v>Each activity/session should have its own row on the '2021 CE Credits' worksheet</v>
      </c>
      <c r="B38" s="201"/>
    </row>
    <row r="39" spans="1:2" x14ac:dyDescent="0.2">
      <c r="A39" s="210" t="s">
        <v>208</v>
      </c>
      <c r="B39" s="201"/>
    </row>
    <row r="40" spans="1:2" x14ac:dyDescent="0.2">
      <c r="A40" s="210" t="s">
        <v>200</v>
      </c>
      <c r="B40" s="201"/>
    </row>
    <row r="41" spans="1:2" x14ac:dyDescent="0.2">
      <c r="B41" s="201"/>
    </row>
    <row r="42" spans="1:2" ht="13.5" thickBot="1" x14ac:dyDescent="0.25">
      <c r="A42" s="202" t="s">
        <v>139</v>
      </c>
      <c r="B42" s="203"/>
    </row>
    <row r="43" spans="1:2" x14ac:dyDescent="0.2">
      <c r="A43" s="214"/>
      <c r="B43" s="201"/>
    </row>
    <row r="44" spans="1:2" ht="25.5" x14ac:dyDescent="0.2">
      <c r="A44" s="215" t="s">
        <v>201</v>
      </c>
      <c r="B44" s="201"/>
    </row>
    <row r="45" spans="1:2" x14ac:dyDescent="0.2">
      <c r="A45" s="215" t="s">
        <v>202</v>
      </c>
      <c r="B45" s="201"/>
    </row>
    <row r="46" spans="1:2" x14ac:dyDescent="0.2">
      <c r="A46" s="215" t="str">
        <f>"2. Copy the '"&amp;TemplateYear&amp;" Credits' worksheet from the prior tracking report."</f>
        <v>2. Copy the '2021 Credits' worksheet from the prior tracking report.</v>
      </c>
      <c r="B46" s="201"/>
    </row>
    <row r="47" spans="1:2" x14ac:dyDescent="0.2">
      <c r="A47" s="215" t="str">
        <f>"3. Paste into the '"&amp;TemplateYear-1&amp;" CE Credits' worksheet of this file."</f>
        <v>3. Paste into the '2020 CE Credits' worksheet of this file.</v>
      </c>
      <c r="B47" s="201"/>
    </row>
    <row r="48" spans="1:2" x14ac:dyDescent="0.2">
      <c r="A48" s="215" t="s">
        <v>203</v>
      </c>
      <c r="B48" s="201"/>
    </row>
    <row r="49" spans="1:1" x14ac:dyDescent="0.2">
      <c r="A49" s="215" t="str">
        <f>"5. Itemize credits that are being carried over on the '"&amp;TemplateYear&amp;" CE Credits' sheet in this file."</f>
        <v>5. Itemize credits that are being carried over on the '2021 CE Credits' sheet in this file.</v>
      </c>
    </row>
    <row r="50" spans="1:1" x14ac:dyDescent="0.2">
      <c r="A50" s="215"/>
    </row>
    <row r="51" spans="1:1" x14ac:dyDescent="0.2">
      <c r="A51" s="215"/>
    </row>
    <row r="53" spans="1:1" x14ac:dyDescent="0.2">
      <c r="A53" s="215"/>
    </row>
    <row r="54" spans="1:1" x14ac:dyDescent="0.2">
      <c r="A54" s="215"/>
    </row>
    <row r="55" spans="1:1" x14ac:dyDescent="0.2">
      <c r="A55" s="215"/>
    </row>
    <row r="56" spans="1:1" x14ac:dyDescent="0.2">
      <c r="A56" s="215"/>
    </row>
    <row r="57" spans="1:1" x14ac:dyDescent="0.2">
      <c r="A57" s="215"/>
    </row>
    <row r="58" spans="1:1" x14ac:dyDescent="0.2">
      <c r="A58" s="215"/>
    </row>
    <row r="59" spans="1:1" x14ac:dyDescent="0.2">
      <c r="A59" s="215"/>
    </row>
    <row r="60" spans="1:1" x14ac:dyDescent="0.2">
      <c r="A60" s="215"/>
    </row>
    <row r="61" spans="1:1" x14ac:dyDescent="0.2">
      <c r="A61" s="2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UpdateNameButton">
                <anchor moveWithCells="1" sizeWithCells="1">
                  <from>
                    <xdr:col>0</xdr:col>
                    <xdr:colOff>809625</xdr:colOff>
                    <xdr:row>29</xdr:row>
                    <xdr:rowOff>47625</xdr:rowOff>
                  </from>
                  <to>
                    <xdr:col>0</xdr:col>
                    <xdr:colOff>3276600</xdr:colOff>
                    <xdr:row>30</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Reference!$C$2:$C$7</xm:f>
          </x14:formula1>
          <xm:sqref>B8</xm:sqref>
        </x14:dataValidation>
        <x14:dataValidation type="list" allowBlank="1" showInputMessage="1" showErrorMessage="1">
          <x14:formula1>
            <xm:f>Reference!$A$2:$A$4</xm:f>
          </x14:formula1>
          <xm:sqref>B12:B13</xm:sqref>
        </x14:dataValidation>
        <x14:dataValidation type="list" allowBlank="1" showInputMessage="1" showErrorMessage="1">
          <x14:formula1>
            <xm:f>Reference!$E$2:$E$4</xm:f>
          </x14:formula1>
          <xm:sqref>B9</xm:sqref>
        </x14:dataValidation>
        <x14:dataValidation type="list" allowBlank="1" showInputMessage="1" showErrorMessage="1">
          <x14:formula1>
            <xm:f>Reference!$G$2:$G$4</xm:f>
          </x14:formula1>
          <xm:sqref>B15</xm:sqref>
        </x14:dataValidation>
        <x14:dataValidation type="list" allowBlank="1" showInputMessage="1" showErrorMessage="1">
          <x14:formula1>
            <xm:f>Reference!$I$2:$I$21</xm:f>
          </x14:formula1>
          <xm:sqref>B14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Y95"/>
  <sheetViews>
    <sheetView showGridLines="0" tabSelected="1" zoomScaleNormal="100" workbookViewId="0">
      <pane xSplit="7" ySplit="10" topLeftCell="H11" activePane="bottomRight" state="frozen"/>
      <selection activeCell="E1" sqref="E1"/>
      <selection pane="topRight" activeCell="H1" sqref="H1"/>
      <selection pane="bottomLeft" activeCell="E11" sqref="E11"/>
      <selection pane="bottomRight" activeCell="H3" sqref="H3"/>
    </sheetView>
  </sheetViews>
  <sheetFormatPr defaultColWidth="9.140625" defaultRowHeight="12.75" outlineLevelRow="1" outlineLevelCol="1" x14ac:dyDescent="0.2"/>
  <cols>
    <col min="1" max="1" width="32.85546875" style="180" hidden="1" customWidth="1" outlineLevel="1"/>
    <col min="2" max="4" width="21.5703125" style="180" hidden="1" customWidth="1" outlineLevel="1"/>
    <col min="5" max="5" width="3.7109375" style="182" customWidth="1" collapsed="1"/>
    <col min="6" max="6" width="2.42578125" style="119" customWidth="1"/>
    <col min="7" max="7" width="17.7109375" style="101" customWidth="1"/>
    <col min="8" max="8" width="8.7109375" style="89" customWidth="1"/>
    <col min="9" max="9" width="9.140625" style="89" customWidth="1"/>
    <col min="10" max="12" width="11.140625" style="89" customWidth="1"/>
    <col min="13" max="14" width="18.85546875" style="89" hidden="1" customWidth="1" outlineLevel="1"/>
    <col min="15" max="15" width="8.5703125" style="89" hidden="1" customWidth="1" outlineLevel="1"/>
    <col min="16" max="16" width="9.7109375" style="89" customWidth="1" collapsed="1"/>
    <col min="17" max="17" width="10.140625" style="89" customWidth="1"/>
    <col min="18" max="18" width="9" style="89" customWidth="1"/>
    <col min="19" max="19" width="8.85546875" style="89" customWidth="1"/>
    <col min="20" max="20" width="8.140625" style="89" customWidth="1"/>
    <col min="21" max="21" width="46.28515625" style="89" customWidth="1"/>
    <col min="22" max="22" width="13.140625" style="89" customWidth="1"/>
    <col min="23" max="23" width="14" style="89" customWidth="1"/>
    <col min="24" max="24" width="20.42578125" style="88" customWidth="1"/>
    <col min="25" max="25" width="86.28515625" style="88" bestFit="1" customWidth="1"/>
    <col min="26" max="26" width="5.7109375" style="88" customWidth="1"/>
    <col min="27" max="16384" width="9.140625" style="88"/>
  </cols>
  <sheetData>
    <row r="1" spans="1:25" ht="15" customHeight="1" thickBot="1" x14ac:dyDescent="0.25">
      <c r="A1" s="179" t="s">
        <v>196</v>
      </c>
      <c r="E1" s="258" t="s">
        <v>160</v>
      </c>
      <c r="F1" s="186"/>
      <c r="G1" s="83"/>
      <c r="H1" s="83"/>
      <c r="I1" s="83"/>
      <c r="J1" s="83"/>
      <c r="K1" s="83"/>
      <c r="L1" s="83"/>
      <c r="M1" s="257" t="s">
        <v>235</v>
      </c>
      <c r="N1" s="257"/>
      <c r="O1" s="257"/>
      <c r="P1" s="116" t="s">
        <v>185</v>
      </c>
      <c r="Q1" s="117"/>
      <c r="R1" s="117"/>
      <c r="S1" s="117"/>
      <c r="T1" s="117"/>
      <c r="U1" s="118"/>
    </row>
    <row r="2" spans="1:25" ht="15" customHeight="1" outlineLevel="1" thickBot="1" x14ac:dyDescent="0.25">
      <c r="B2" s="179"/>
      <c r="C2" s="179"/>
      <c r="D2" s="179"/>
      <c r="E2" s="258"/>
      <c r="F2" s="186"/>
      <c r="H2" s="83"/>
      <c r="I2" s="83"/>
      <c r="J2" s="83"/>
      <c r="K2" s="91"/>
      <c r="L2" s="83"/>
      <c r="M2" s="257"/>
      <c r="N2" s="257"/>
      <c r="O2" s="257"/>
      <c r="P2" s="88"/>
      <c r="Q2" s="88"/>
      <c r="R2" s="88"/>
      <c r="S2" s="88"/>
      <c r="T2" s="88"/>
      <c r="U2" s="88"/>
      <c r="V2" s="88"/>
    </row>
    <row r="3" spans="1:25" ht="15" customHeight="1" outlineLevel="1" thickBot="1" x14ac:dyDescent="0.25">
      <c r="E3" s="258"/>
      <c r="F3" s="186"/>
      <c r="H3" s="83"/>
      <c r="I3" s="83"/>
      <c r="J3" s="83"/>
      <c r="K3" s="91"/>
      <c r="L3" s="83"/>
      <c r="M3" s="257"/>
      <c r="N3" s="257"/>
      <c r="O3" s="257"/>
      <c r="P3" s="249" t="s">
        <v>2</v>
      </c>
      <c r="Q3" s="251" t="s">
        <v>161</v>
      </c>
      <c r="R3" s="251" t="s">
        <v>157</v>
      </c>
      <c r="S3" s="261"/>
      <c r="T3" s="259" t="s">
        <v>1</v>
      </c>
      <c r="U3" s="88"/>
      <c r="V3" s="88"/>
      <c r="W3" s="88"/>
    </row>
    <row r="4" spans="1:25" ht="15" customHeight="1" outlineLevel="1" thickBot="1" x14ac:dyDescent="0.25">
      <c r="A4" s="256" t="s">
        <v>163</v>
      </c>
      <c r="B4" s="256"/>
      <c r="C4" s="256"/>
      <c r="D4" s="256"/>
      <c r="E4" s="181"/>
      <c r="F4" s="187"/>
      <c r="G4" s="83"/>
      <c r="H4" s="83"/>
      <c r="I4" s="83"/>
      <c r="J4" s="83"/>
      <c r="K4" s="91"/>
      <c r="L4" s="83"/>
      <c r="M4" s="114" t="s">
        <v>106</v>
      </c>
      <c r="N4" s="115" t="s">
        <v>1</v>
      </c>
      <c r="O4" s="84"/>
      <c r="P4" s="250"/>
      <c r="Q4" s="252"/>
      <c r="R4" s="252"/>
      <c r="S4" s="262"/>
      <c r="T4" s="260"/>
      <c r="U4" s="88"/>
      <c r="V4" s="88"/>
      <c r="W4" s="88"/>
    </row>
    <row r="5" spans="1:25" ht="15" customHeight="1" outlineLevel="1" x14ac:dyDescent="0.2">
      <c r="A5" s="256"/>
      <c r="B5" s="256"/>
      <c r="C5" s="256"/>
      <c r="D5" s="256"/>
      <c r="E5" s="181"/>
      <c r="F5" s="187"/>
      <c r="G5" s="188" t="str">
        <f>'Input and Instructions'!B6&amp;" "&amp;'Input and Instructions'!B7</f>
        <v>FIRST LAST</v>
      </c>
      <c r="H5" s="83"/>
      <c r="I5" s="83"/>
      <c r="J5" s="83"/>
      <c r="K5" s="91"/>
      <c r="L5" s="83"/>
      <c r="M5" s="85">
        <v>6</v>
      </c>
      <c r="N5" s="86">
        <v>15</v>
      </c>
      <c r="O5" s="87" t="s">
        <v>109</v>
      </c>
      <c r="P5" s="92" t="s">
        <v>186</v>
      </c>
      <c r="Q5" s="93" t="s">
        <v>187</v>
      </c>
      <c r="R5" s="94" t="s">
        <v>3</v>
      </c>
      <c r="S5" s="95"/>
      <c r="T5" s="96">
        <v>30</v>
      </c>
      <c r="U5" s="97" t="s">
        <v>5</v>
      </c>
    </row>
    <row r="6" spans="1:25" ht="15" customHeight="1" outlineLevel="1" x14ac:dyDescent="0.2">
      <c r="A6" s="256"/>
      <c r="B6" s="256"/>
      <c r="C6" s="256"/>
      <c r="D6" s="256"/>
      <c r="G6" s="188" t="str">
        <f>"CE Tracker for Calendar Year "&amp;TemplateYear</f>
        <v>CE Tracker for Calendar Year 2021</v>
      </c>
      <c r="H6" s="83"/>
      <c r="I6" s="83"/>
      <c r="J6" s="83"/>
      <c r="K6" s="91"/>
      <c r="L6" s="83"/>
      <c r="M6" s="108">
        <f>SUMPRODUCT(SUMIF(M$11:M$75,Reference!$O$2:$O$7,P$11:P$75))</f>
        <v>0</v>
      </c>
      <c r="N6" s="109">
        <f>SUMPRODUCT(SUMIF(M$11:M$75,Reference!$O$2:$O$7,T$11:T$75))</f>
        <v>0</v>
      </c>
      <c r="O6" s="110" t="s">
        <v>107</v>
      </c>
      <c r="P6" s="136">
        <f>SUM(P11:P76)-MAX(0,SUMIFS(T11:T76,I11:I76,"x",K11:K76,"x")-3)</f>
        <v>2.4</v>
      </c>
      <c r="Q6" s="137">
        <f>SUM(Q11:Q76)</f>
        <v>0</v>
      </c>
      <c r="R6" s="138">
        <f>IF(SUM(R11:R76)&gt;3,3,R77)</f>
        <v>2.4</v>
      </c>
      <c r="S6" s="138"/>
      <c r="T6" s="139">
        <f>SUM(T11:T76)-R77+R6</f>
        <v>16.8</v>
      </c>
      <c r="U6" s="133" t="str">
        <f>"Total CE Recorded "&amp;TemplateYear&amp;IF(R76&gt;3," *","")</f>
        <v>Total CE Recorded 2021 *</v>
      </c>
    </row>
    <row r="7" spans="1:25" ht="15" customHeight="1" outlineLevel="1" thickBot="1" x14ac:dyDescent="0.25">
      <c r="G7" s="83"/>
      <c r="H7" s="83"/>
      <c r="M7" s="111">
        <f>SUMPRODUCT(SUMIF(N$11:N$75,Reference!$Q$2:$Q$6,Q$11:Q$75))</f>
        <v>0</v>
      </c>
      <c r="N7" s="112">
        <f>SUMPRODUCT(SUMIF(N$11:N$75,Reference!$Q$2:$Q$6,T$11:T$75))</f>
        <v>0</v>
      </c>
      <c r="O7" s="113" t="s">
        <v>108</v>
      </c>
      <c r="P7" s="140">
        <f>IF((6-P6)&gt;0,6-P6,0)</f>
        <v>3.6</v>
      </c>
      <c r="Q7" s="141">
        <f>IF((3-Q6)&gt;0,3-Q6,0)</f>
        <v>3</v>
      </c>
      <c r="R7" s="142"/>
      <c r="S7" s="142"/>
      <c r="T7" s="143">
        <f>IF((T5-T6)&gt;0,T5-T6,0)</f>
        <v>13.2</v>
      </c>
      <c r="U7" s="104" t="str">
        <f>"Remaining For "&amp;TemplateYear</f>
        <v>Remaining For 2021</v>
      </c>
    </row>
    <row r="8" spans="1:25" ht="15" customHeight="1" outlineLevel="1" thickBot="1" x14ac:dyDescent="0.25">
      <c r="A8" s="256" t="s">
        <v>193</v>
      </c>
      <c r="B8" s="256"/>
      <c r="C8" s="256"/>
      <c r="D8" s="256"/>
      <c r="G8" s="83"/>
      <c r="H8" s="83"/>
      <c r="I8" s="83"/>
      <c r="J8" s="263" t="s">
        <v>233</v>
      </c>
      <c r="K8" s="264"/>
      <c r="L8" s="265"/>
      <c r="M8" s="105"/>
      <c r="N8" s="106"/>
      <c r="U8" s="99" t="str">
        <f>IF(R76&gt;3,"*More than 3 credits of gen. business entered. Only 3 hours are credited to total.","")</f>
        <v>*More than 3 credits of gen. business entered. Only 3 hours are credited to total.</v>
      </c>
      <c r="Y8" s="100"/>
    </row>
    <row r="9" spans="1:25" ht="15.75" customHeight="1" outlineLevel="1" thickBot="1" x14ac:dyDescent="0.25">
      <c r="A9" s="256"/>
      <c r="B9" s="256"/>
      <c r="C9" s="256"/>
      <c r="D9" s="256"/>
      <c r="I9" s="253" t="s">
        <v>232</v>
      </c>
      <c r="J9" s="254"/>
      <c r="K9" s="254"/>
      <c r="L9" s="255"/>
      <c r="M9" s="107"/>
      <c r="N9" s="158"/>
      <c r="O9" s="159"/>
      <c r="P9" s="160" t="s">
        <v>234</v>
      </c>
      <c r="Q9" s="161"/>
      <c r="R9" s="161"/>
      <c r="S9" s="161"/>
      <c r="T9" s="162"/>
      <c r="U9" s="88" t="str">
        <f>IF(SUM(Q77:S77)=T77," ","Please double check your tracker.  Total in column T should be the sum of columns Q through S.")</f>
        <v xml:space="preserve"> </v>
      </c>
      <c r="V9" s="102"/>
    </row>
    <row r="10" spans="1:25" s="90" customFormat="1" ht="39" thickBot="1" x14ac:dyDescent="0.25">
      <c r="A10" s="189" t="s">
        <v>195</v>
      </c>
      <c r="B10" s="190" t="s">
        <v>194</v>
      </c>
      <c r="C10" s="183"/>
      <c r="D10" s="183"/>
      <c r="E10" s="182"/>
      <c r="F10" s="119"/>
      <c r="G10" s="163" t="s">
        <v>0</v>
      </c>
      <c r="H10" s="164" t="s">
        <v>158</v>
      </c>
      <c r="I10" s="165" t="s">
        <v>192</v>
      </c>
      <c r="J10" s="166" t="s">
        <v>161</v>
      </c>
      <c r="K10" s="167" t="s">
        <v>152</v>
      </c>
      <c r="L10" s="168" t="s">
        <v>153</v>
      </c>
      <c r="M10" s="169" t="s">
        <v>165</v>
      </c>
      <c r="N10" s="170" t="s">
        <v>164</v>
      </c>
      <c r="O10" s="171" t="s">
        <v>236</v>
      </c>
      <c r="P10" s="172" t="s">
        <v>189</v>
      </c>
      <c r="Q10" s="173" t="s">
        <v>188</v>
      </c>
      <c r="R10" s="174" t="s">
        <v>190</v>
      </c>
      <c r="S10" s="175" t="s">
        <v>191</v>
      </c>
      <c r="T10" s="176" t="s">
        <v>1</v>
      </c>
      <c r="U10" s="177" t="s">
        <v>147</v>
      </c>
      <c r="V10" s="145" t="s">
        <v>143</v>
      </c>
      <c r="W10" s="165" t="s">
        <v>184</v>
      </c>
      <c r="X10" s="144" t="s">
        <v>138</v>
      </c>
      <c r="Y10" s="178" t="s">
        <v>220</v>
      </c>
    </row>
    <row r="11" spans="1:25" ht="25.5" x14ac:dyDescent="0.2">
      <c r="A11" s="184" t="s">
        <v>0</v>
      </c>
      <c r="B11" s="266" t="s">
        <v>162</v>
      </c>
      <c r="C11" s="267"/>
      <c r="D11" s="268"/>
      <c r="G11" s="126">
        <v>44285</v>
      </c>
      <c r="H11" s="120">
        <v>60</v>
      </c>
      <c r="I11" s="103"/>
      <c r="J11" s="130"/>
      <c r="K11" s="127"/>
      <c r="L11" s="131" t="s">
        <v>265</v>
      </c>
      <c r="M11" s="129"/>
      <c r="N11" s="128"/>
      <c r="O11" s="120"/>
      <c r="P11" s="134" t="str">
        <f>IF(UPPER(I11="X"),$H11/50,"-")</f>
        <v>-</v>
      </c>
      <c r="Q11" s="134" t="str">
        <f t="shared" ref="Q11:Q74" si="0">IF(UPPER(J11="X"),$H11/50,"-")</f>
        <v>-</v>
      </c>
      <c r="R11" s="156" t="str">
        <f t="shared" ref="R11:R75" si="1">IF(UPPER(K11="X"),$H11/50,"-")</f>
        <v>-</v>
      </c>
      <c r="S11" s="154">
        <f t="shared" ref="S11:S74" si="2">IF(UPPER(L11="X"),$H11/50,"-")</f>
        <v>1.2</v>
      </c>
      <c r="T11" s="135">
        <f>IF(OR(UPPER(J11="X"),UPPER(L11)="X",UPPER(K11)="X",NOT(M11="")),H11/50,"-")</f>
        <v>1.2</v>
      </c>
      <c r="U11" s="123" t="s">
        <v>266</v>
      </c>
      <c r="V11" s="121" t="s">
        <v>142</v>
      </c>
      <c r="W11" s="124" t="s">
        <v>269</v>
      </c>
      <c r="X11" s="224"/>
      <c r="Y11" s="225"/>
    </row>
    <row r="12" spans="1:25" ht="25.5" x14ac:dyDescent="0.2">
      <c r="A12" s="185" t="s">
        <v>175</v>
      </c>
      <c r="B12" s="248" t="s">
        <v>197</v>
      </c>
      <c r="C12" s="248"/>
      <c r="D12" s="248"/>
      <c r="G12" s="126">
        <v>44287</v>
      </c>
      <c r="H12" s="120">
        <v>60</v>
      </c>
      <c r="I12" s="103"/>
      <c r="J12" s="130"/>
      <c r="K12" s="127"/>
      <c r="L12" s="131" t="s">
        <v>265</v>
      </c>
      <c r="M12" s="129"/>
      <c r="N12" s="128"/>
      <c r="O12" s="120"/>
      <c r="P12" s="134" t="str">
        <f t="shared" ref="P12:P75" si="3">IF(UPPER(I12="X"),$H12/50,"-")</f>
        <v>-</v>
      </c>
      <c r="Q12" s="134" t="str">
        <f t="shared" si="0"/>
        <v>-</v>
      </c>
      <c r="R12" s="156" t="str">
        <f t="shared" si="1"/>
        <v>-</v>
      </c>
      <c r="S12" s="154">
        <f t="shared" si="2"/>
        <v>1.2</v>
      </c>
      <c r="T12" s="135">
        <f t="shared" ref="T12:T75" si="4">IF(OR(UPPER(J12="X"),UPPER(L12)="X",UPPER(K12)="X",NOT(M12="")),H12/50,"-")</f>
        <v>1.2</v>
      </c>
      <c r="U12" s="123" t="s">
        <v>266</v>
      </c>
      <c r="V12" s="121" t="s">
        <v>142</v>
      </c>
      <c r="W12" s="124" t="s">
        <v>268</v>
      </c>
      <c r="X12" s="224"/>
      <c r="Y12" s="225"/>
    </row>
    <row r="13" spans="1:25" ht="25.5" x14ac:dyDescent="0.2">
      <c r="A13" s="185" t="s">
        <v>174</v>
      </c>
      <c r="B13" s="248" t="s">
        <v>168</v>
      </c>
      <c r="C13" s="248"/>
      <c r="D13" s="248"/>
      <c r="G13" s="126">
        <v>44292</v>
      </c>
      <c r="H13" s="120">
        <v>60</v>
      </c>
      <c r="I13" s="103" t="s">
        <v>265</v>
      </c>
      <c r="J13" s="130"/>
      <c r="K13" s="127"/>
      <c r="L13" s="131" t="s">
        <v>265</v>
      </c>
      <c r="M13" s="129"/>
      <c r="N13" s="128"/>
      <c r="O13" s="120"/>
      <c r="P13" s="134">
        <f t="shared" si="3"/>
        <v>1.2</v>
      </c>
      <c r="Q13" s="134" t="str">
        <f t="shared" si="0"/>
        <v>-</v>
      </c>
      <c r="R13" s="156" t="str">
        <f t="shared" si="1"/>
        <v>-</v>
      </c>
      <c r="S13" s="154">
        <f t="shared" si="2"/>
        <v>1.2</v>
      </c>
      <c r="T13" s="135">
        <f t="shared" si="4"/>
        <v>1.2</v>
      </c>
      <c r="U13" s="123" t="s">
        <v>271</v>
      </c>
      <c r="V13" s="121" t="s">
        <v>142</v>
      </c>
      <c r="W13" s="124" t="s">
        <v>267</v>
      </c>
      <c r="X13" s="224" t="s">
        <v>270</v>
      </c>
      <c r="Y13" s="225"/>
    </row>
    <row r="14" spans="1:25" ht="25.5" x14ac:dyDescent="0.2">
      <c r="A14" s="185" t="s">
        <v>176</v>
      </c>
      <c r="B14" s="248" t="s">
        <v>169</v>
      </c>
      <c r="C14" s="248"/>
      <c r="D14" s="248"/>
      <c r="G14" s="126">
        <v>44263</v>
      </c>
      <c r="H14" s="120">
        <v>60</v>
      </c>
      <c r="I14" s="103"/>
      <c r="J14" s="130"/>
      <c r="K14" s="127" t="s">
        <v>265</v>
      </c>
      <c r="L14" s="131"/>
      <c r="M14" s="129"/>
      <c r="N14" s="128"/>
      <c r="O14" s="120"/>
      <c r="P14" s="134" t="str">
        <f t="shared" si="3"/>
        <v>-</v>
      </c>
      <c r="Q14" s="134" t="str">
        <f t="shared" si="0"/>
        <v>-</v>
      </c>
      <c r="R14" s="156">
        <f t="shared" si="1"/>
        <v>1.2</v>
      </c>
      <c r="S14" s="154" t="str">
        <f t="shared" si="2"/>
        <v>-</v>
      </c>
      <c r="T14" s="135">
        <f t="shared" si="4"/>
        <v>1.2</v>
      </c>
      <c r="U14" s="123" t="s">
        <v>274</v>
      </c>
      <c r="V14" s="121" t="s">
        <v>142</v>
      </c>
      <c r="W14" s="124" t="s">
        <v>273</v>
      </c>
      <c r="X14" s="224" t="s">
        <v>272</v>
      </c>
      <c r="Y14" s="225"/>
    </row>
    <row r="15" spans="1:25" ht="25.5" x14ac:dyDescent="0.2">
      <c r="A15" s="185" t="s">
        <v>177</v>
      </c>
      <c r="B15" s="248" t="s">
        <v>167</v>
      </c>
      <c r="C15" s="248"/>
      <c r="D15" s="248"/>
      <c r="G15" s="126">
        <v>44293</v>
      </c>
      <c r="H15" s="120">
        <v>60</v>
      </c>
      <c r="I15" s="103"/>
      <c r="J15" s="130"/>
      <c r="K15" s="127" t="s">
        <v>265</v>
      </c>
      <c r="L15" s="131"/>
      <c r="M15" s="129"/>
      <c r="N15" s="128"/>
      <c r="O15" s="120"/>
      <c r="P15" s="134" t="str">
        <f t="shared" si="3"/>
        <v>-</v>
      </c>
      <c r="Q15" s="134" t="str">
        <f t="shared" si="0"/>
        <v>-</v>
      </c>
      <c r="R15" s="156">
        <f t="shared" si="1"/>
        <v>1.2</v>
      </c>
      <c r="S15" s="154" t="str">
        <f t="shared" si="2"/>
        <v>-</v>
      </c>
      <c r="T15" s="135">
        <f t="shared" si="4"/>
        <v>1.2</v>
      </c>
      <c r="U15" s="123" t="s">
        <v>275</v>
      </c>
      <c r="V15" s="121" t="s">
        <v>142</v>
      </c>
      <c r="W15" s="124" t="s">
        <v>273</v>
      </c>
      <c r="X15" s="224" t="s">
        <v>272</v>
      </c>
      <c r="Y15" s="226"/>
    </row>
    <row r="16" spans="1:25" ht="25.5" x14ac:dyDescent="0.2">
      <c r="A16" s="185" t="s">
        <v>178</v>
      </c>
      <c r="B16" s="248" t="s">
        <v>166</v>
      </c>
      <c r="C16" s="248"/>
      <c r="D16" s="248"/>
      <c r="G16" s="126">
        <v>44309</v>
      </c>
      <c r="H16" s="120">
        <v>480</v>
      </c>
      <c r="I16" s="103"/>
      <c r="J16" s="130"/>
      <c r="K16" s="127"/>
      <c r="L16" s="131" t="s">
        <v>265</v>
      </c>
      <c r="M16" s="129"/>
      <c r="N16" s="128"/>
      <c r="O16" s="120"/>
      <c r="P16" s="134" t="str">
        <f t="shared" si="3"/>
        <v>-</v>
      </c>
      <c r="Q16" s="134" t="str">
        <f t="shared" si="0"/>
        <v>-</v>
      </c>
      <c r="R16" s="156" t="str">
        <f t="shared" si="1"/>
        <v>-</v>
      </c>
      <c r="S16" s="154">
        <f t="shared" si="2"/>
        <v>9.6</v>
      </c>
      <c r="T16" s="135">
        <f t="shared" si="4"/>
        <v>9.6</v>
      </c>
      <c r="U16" s="123" t="s">
        <v>276</v>
      </c>
      <c r="V16" s="121" t="s">
        <v>142</v>
      </c>
      <c r="W16" s="124" t="s">
        <v>268</v>
      </c>
      <c r="X16" s="224"/>
      <c r="Y16" s="225"/>
    </row>
    <row r="17" spans="1:25" ht="30" customHeight="1" x14ac:dyDescent="0.2">
      <c r="A17" s="185" t="s">
        <v>179</v>
      </c>
      <c r="B17" s="248" t="s">
        <v>173</v>
      </c>
      <c r="C17" s="248"/>
      <c r="D17" s="248"/>
      <c r="G17" s="126">
        <v>44320</v>
      </c>
      <c r="H17" s="120">
        <v>60</v>
      </c>
      <c r="I17" s="103" t="s">
        <v>265</v>
      </c>
      <c r="J17" s="130"/>
      <c r="K17" s="127"/>
      <c r="L17" s="131" t="s">
        <v>265</v>
      </c>
      <c r="M17" s="129"/>
      <c r="N17" s="128"/>
      <c r="O17" s="120"/>
      <c r="P17" s="134">
        <f t="shared" si="3"/>
        <v>1.2</v>
      </c>
      <c r="Q17" s="134" t="str">
        <f t="shared" si="0"/>
        <v>-</v>
      </c>
      <c r="R17" s="156" t="str">
        <f t="shared" si="1"/>
        <v>-</v>
      </c>
      <c r="S17" s="154">
        <f t="shared" si="2"/>
        <v>1.2</v>
      </c>
      <c r="T17" s="135">
        <f t="shared" si="4"/>
        <v>1.2</v>
      </c>
      <c r="U17" s="123" t="s">
        <v>278</v>
      </c>
      <c r="V17" s="121" t="s">
        <v>142</v>
      </c>
      <c r="W17" s="124" t="s">
        <v>277</v>
      </c>
      <c r="X17" s="308" t="s">
        <v>279</v>
      </c>
      <c r="Y17" s="225" t="s">
        <v>280</v>
      </c>
    </row>
    <row r="18" spans="1:25" ht="25.5" x14ac:dyDescent="0.2">
      <c r="A18" s="185" t="s">
        <v>180</v>
      </c>
      <c r="B18" s="248" t="s">
        <v>172</v>
      </c>
      <c r="C18" s="248"/>
      <c r="D18" s="248"/>
      <c r="G18" s="126" t="s">
        <v>142</v>
      </c>
      <c r="H18" s="120" t="s">
        <v>142</v>
      </c>
      <c r="I18" s="103"/>
      <c r="J18" s="130"/>
      <c r="K18" s="127"/>
      <c r="L18" s="131"/>
      <c r="M18" s="129"/>
      <c r="N18" s="128"/>
      <c r="O18" s="120"/>
      <c r="P18" s="134" t="str">
        <f t="shared" si="3"/>
        <v>-</v>
      </c>
      <c r="Q18" s="134" t="str">
        <f t="shared" si="0"/>
        <v>-</v>
      </c>
      <c r="R18" s="156" t="str">
        <f t="shared" si="1"/>
        <v>-</v>
      </c>
      <c r="S18" s="154" t="str">
        <f t="shared" si="2"/>
        <v>-</v>
      </c>
      <c r="T18" s="135" t="str">
        <f t="shared" si="4"/>
        <v>-</v>
      </c>
      <c r="U18" s="123" t="s">
        <v>142</v>
      </c>
      <c r="V18" s="121" t="s">
        <v>142</v>
      </c>
      <c r="W18" s="124" t="s">
        <v>142</v>
      </c>
      <c r="X18" s="224"/>
      <c r="Y18" s="225"/>
    </row>
    <row r="19" spans="1:25" ht="30" customHeight="1" x14ac:dyDescent="0.2">
      <c r="A19" s="185" t="s">
        <v>183</v>
      </c>
      <c r="B19" s="248" t="s">
        <v>170</v>
      </c>
      <c r="C19" s="248"/>
      <c r="D19" s="248"/>
      <c r="G19" s="126" t="s">
        <v>142</v>
      </c>
      <c r="H19" s="120" t="s">
        <v>142</v>
      </c>
      <c r="I19" s="103"/>
      <c r="J19" s="130"/>
      <c r="K19" s="127"/>
      <c r="L19" s="131"/>
      <c r="M19" s="129"/>
      <c r="N19" s="128"/>
      <c r="O19" s="120"/>
      <c r="P19" s="134" t="str">
        <f t="shared" si="3"/>
        <v>-</v>
      </c>
      <c r="Q19" s="134" t="str">
        <f t="shared" si="0"/>
        <v>-</v>
      </c>
      <c r="R19" s="156" t="str">
        <f t="shared" si="1"/>
        <v>-</v>
      </c>
      <c r="S19" s="154" t="str">
        <f t="shared" si="2"/>
        <v>-</v>
      </c>
      <c r="T19" s="135" t="str">
        <f t="shared" si="4"/>
        <v>-</v>
      </c>
      <c r="U19" s="123" t="s">
        <v>142</v>
      </c>
      <c r="V19" s="121" t="s">
        <v>142</v>
      </c>
      <c r="W19" s="124" t="s">
        <v>142</v>
      </c>
      <c r="X19" s="224"/>
      <c r="Y19" s="225"/>
    </row>
    <row r="20" spans="1:25" ht="30" customHeight="1" x14ac:dyDescent="0.2">
      <c r="A20" s="185" t="s">
        <v>181</v>
      </c>
      <c r="B20" s="248" t="s">
        <v>171</v>
      </c>
      <c r="C20" s="248"/>
      <c r="D20" s="248"/>
      <c r="G20" s="126" t="s">
        <v>142</v>
      </c>
      <c r="H20" s="120" t="s">
        <v>142</v>
      </c>
      <c r="I20" s="103"/>
      <c r="J20" s="130"/>
      <c r="K20" s="127"/>
      <c r="L20" s="131"/>
      <c r="M20" s="129"/>
      <c r="N20" s="128"/>
      <c r="O20" s="120"/>
      <c r="P20" s="134" t="str">
        <f t="shared" si="3"/>
        <v>-</v>
      </c>
      <c r="Q20" s="134" t="str">
        <f t="shared" si="0"/>
        <v>-</v>
      </c>
      <c r="R20" s="156" t="str">
        <f t="shared" si="1"/>
        <v>-</v>
      </c>
      <c r="S20" s="154" t="str">
        <f t="shared" si="2"/>
        <v>-</v>
      </c>
      <c r="T20" s="135" t="str">
        <f t="shared" si="4"/>
        <v>-</v>
      </c>
      <c r="U20" s="123" t="s">
        <v>142</v>
      </c>
      <c r="V20" s="121" t="s">
        <v>142</v>
      </c>
      <c r="W20" s="124" t="s">
        <v>142</v>
      </c>
      <c r="X20" s="224"/>
      <c r="Y20" s="225"/>
    </row>
    <row r="21" spans="1:25" ht="30" customHeight="1" x14ac:dyDescent="0.2">
      <c r="A21" s="185" t="s">
        <v>182</v>
      </c>
      <c r="B21" s="248" t="s">
        <v>238</v>
      </c>
      <c r="C21" s="248"/>
      <c r="D21" s="248"/>
      <c r="G21" s="126" t="s">
        <v>142</v>
      </c>
      <c r="H21" s="120" t="s">
        <v>142</v>
      </c>
      <c r="I21" s="103"/>
      <c r="J21" s="130"/>
      <c r="K21" s="127"/>
      <c r="L21" s="131"/>
      <c r="M21" s="129"/>
      <c r="N21" s="128"/>
      <c r="O21" s="120"/>
      <c r="P21" s="134" t="str">
        <f t="shared" si="3"/>
        <v>-</v>
      </c>
      <c r="Q21" s="134" t="str">
        <f t="shared" si="0"/>
        <v>-</v>
      </c>
      <c r="R21" s="156" t="str">
        <f t="shared" si="1"/>
        <v>-</v>
      </c>
      <c r="S21" s="154" t="str">
        <f t="shared" si="2"/>
        <v>-</v>
      </c>
      <c r="T21" s="135" t="str">
        <f t="shared" si="4"/>
        <v>-</v>
      </c>
      <c r="U21" s="123" t="s">
        <v>142</v>
      </c>
      <c r="V21" s="121" t="s">
        <v>142</v>
      </c>
      <c r="W21" s="124" t="s">
        <v>142</v>
      </c>
      <c r="X21" s="224"/>
      <c r="Y21" s="225"/>
    </row>
    <row r="22" spans="1:25" x14ac:dyDescent="0.2">
      <c r="G22" s="126" t="s">
        <v>142</v>
      </c>
      <c r="H22" s="120" t="s">
        <v>142</v>
      </c>
      <c r="I22" s="103"/>
      <c r="J22" s="130"/>
      <c r="K22" s="127"/>
      <c r="L22" s="131"/>
      <c r="M22" s="129"/>
      <c r="N22" s="128"/>
      <c r="O22" s="120"/>
      <c r="P22" s="134" t="str">
        <f t="shared" si="3"/>
        <v>-</v>
      </c>
      <c r="Q22" s="134" t="str">
        <f t="shared" si="0"/>
        <v>-</v>
      </c>
      <c r="R22" s="156" t="str">
        <f t="shared" si="1"/>
        <v>-</v>
      </c>
      <c r="S22" s="154" t="str">
        <f t="shared" si="2"/>
        <v>-</v>
      </c>
      <c r="T22" s="135" t="str">
        <f t="shared" si="4"/>
        <v>-</v>
      </c>
      <c r="U22" s="123" t="s">
        <v>142</v>
      </c>
      <c r="V22" s="121" t="s">
        <v>142</v>
      </c>
      <c r="W22" s="124" t="s">
        <v>142</v>
      </c>
      <c r="X22" s="224"/>
      <c r="Y22" s="225"/>
    </row>
    <row r="23" spans="1:25" x14ac:dyDescent="0.2">
      <c r="G23" s="126" t="s">
        <v>142</v>
      </c>
      <c r="H23" s="120" t="s">
        <v>142</v>
      </c>
      <c r="I23" s="103"/>
      <c r="J23" s="130"/>
      <c r="K23" s="127"/>
      <c r="L23" s="131"/>
      <c r="M23" s="129"/>
      <c r="N23" s="128"/>
      <c r="O23" s="120"/>
      <c r="P23" s="134" t="str">
        <f t="shared" si="3"/>
        <v>-</v>
      </c>
      <c r="Q23" s="134" t="str">
        <f t="shared" si="0"/>
        <v>-</v>
      </c>
      <c r="R23" s="156" t="str">
        <f t="shared" si="1"/>
        <v>-</v>
      </c>
      <c r="S23" s="154" t="str">
        <f t="shared" si="2"/>
        <v>-</v>
      </c>
      <c r="T23" s="135" t="str">
        <f t="shared" si="4"/>
        <v>-</v>
      </c>
      <c r="U23" s="123" t="s">
        <v>142</v>
      </c>
      <c r="V23" s="121" t="s">
        <v>142</v>
      </c>
      <c r="W23" s="124" t="s">
        <v>142</v>
      </c>
      <c r="X23" s="224"/>
      <c r="Y23" s="225"/>
    </row>
    <row r="24" spans="1:25" x14ac:dyDescent="0.2">
      <c r="G24" s="126" t="s">
        <v>142</v>
      </c>
      <c r="H24" s="120" t="s">
        <v>142</v>
      </c>
      <c r="I24" s="103"/>
      <c r="J24" s="130"/>
      <c r="K24" s="127"/>
      <c r="L24" s="131"/>
      <c r="M24" s="129"/>
      <c r="N24" s="128"/>
      <c r="O24" s="120"/>
      <c r="P24" s="134" t="str">
        <f t="shared" si="3"/>
        <v>-</v>
      </c>
      <c r="Q24" s="134" t="str">
        <f t="shared" si="0"/>
        <v>-</v>
      </c>
      <c r="R24" s="156" t="str">
        <f t="shared" si="1"/>
        <v>-</v>
      </c>
      <c r="S24" s="154" t="str">
        <f t="shared" si="2"/>
        <v>-</v>
      </c>
      <c r="T24" s="135" t="str">
        <f t="shared" si="4"/>
        <v>-</v>
      </c>
      <c r="U24" s="123" t="s">
        <v>142</v>
      </c>
      <c r="V24" s="121" t="s">
        <v>142</v>
      </c>
      <c r="W24" s="124" t="s">
        <v>142</v>
      </c>
      <c r="X24" s="224"/>
      <c r="Y24" s="225"/>
    </row>
    <row r="25" spans="1:25" x14ac:dyDescent="0.2">
      <c r="G25" s="126" t="s">
        <v>142</v>
      </c>
      <c r="H25" s="120" t="s">
        <v>142</v>
      </c>
      <c r="I25" s="103"/>
      <c r="J25" s="130"/>
      <c r="K25" s="127"/>
      <c r="L25" s="131"/>
      <c r="M25" s="129"/>
      <c r="N25" s="128"/>
      <c r="O25" s="120"/>
      <c r="P25" s="134" t="str">
        <f t="shared" si="3"/>
        <v>-</v>
      </c>
      <c r="Q25" s="134" t="str">
        <f t="shared" si="0"/>
        <v>-</v>
      </c>
      <c r="R25" s="156" t="str">
        <f t="shared" si="1"/>
        <v>-</v>
      </c>
      <c r="S25" s="154" t="str">
        <f t="shared" si="2"/>
        <v>-</v>
      </c>
      <c r="T25" s="135" t="str">
        <f t="shared" si="4"/>
        <v>-</v>
      </c>
      <c r="U25" s="123" t="s">
        <v>142</v>
      </c>
      <c r="V25" s="121" t="s">
        <v>142</v>
      </c>
      <c r="W25" s="124" t="s">
        <v>142</v>
      </c>
      <c r="X25" s="224"/>
      <c r="Y25" s="225"/>
    </row>
    <row r="26" spans="1:25" x14ac:dyDescent="0.2">
      <c r="G26" s="126" t="s">
        <v>142</v>
      </c>
      <c r="H26" s="120" t="s">
        <v>142</v>
      </c>
      <c r="I26" s="103"/>
      <c r="J26" s="130"/>
      <c r="K26" s="127"/>
      <c r="L26" s="131"/>
      <c r="M26" s="129"/>
      <c r="N26" s="128"/>
      <c r="O26" s="120"/>
      <c r="P26" s="134" t="str">
        <f t="shared" si="3"/>
        <v>-</v>
      </c>
      <c r="Q26" s="134" t="str">
        <f t="shared" si="0"/>
        <v>-</v>
      </c>
      <c r="R26" s="156" t="str">
        <f t="shared" si="1"/>
        <v>-</v>
      </c>
      <c r="S26" s="154" t="str">
        <f t="shared" si="2"/>
        <v>-</v>
      </c>
      <c r="T26" s="135" t="str">
        <f t="shared" si="4"/>
        <v>-</v>
      </c>
      <c r="U26" s="123" t="s">
        <v>142</v>
      </c>
      <c r="V26" s="121" t="s">
        <v>142</v>
      </c>
      <c r="W26" s="124" t="s">
        <v>142</v>
      </c>
      <c r="X26" s="224"/>
      <c r="Y26" s="225"/>
    </row>
    <row r="27" spans="1:25" x14ac:dyDescent="0.2">
      <c r="G27" s="126" t="s">
        <v>142</v>
      </c>
      <c r="H27" s="120" t="s">
        <v>142</v>
      </c>
      <c r="I27" s="103"/>
      <c r="J27" s="130"/>
      <c r="K27" s="127"/>
      <c r="L27" s="131"/>
      <c r="M27" s="129"/>
      <c r="N27" s="128"/>
      <c r="O27" s="120"/>
      <c r="P27" s="134" t="str">
        <f t="shared" si="3"/>
        <v>-</v>
      </c>
      <c r="Q27" s="134" t="str">
        <f t="shared" si="0"/>
        <v>-</v>
      </c>
      <c r="R27" s="156" t="str">
        <f t="shared" si="1"/>
        <v>-</v>
      </c>
      <c r="S27" s="154" t="str">
        <f t="shared" si="2"/>
        <v>-</v>
      </c>
      <c r="T27" s="135" t="str">
        <f t="shared" si="4"/>
        <v>-</v>
      </c>
      <c r="U27" s="123" t="s">
        <v>142</v>
      </c>
      <c r="V27" s="121" t="s">
        <v>142</v>
      </c>
      <c r="W27" s="124" t="s">
        <v>142</v>
      </c>
      <c r="X27" s="224"/>
      <c r="Y27" s="225"/>
    </row>
    <row r="28" spans="1:25" x14ac:dyDescent="0.2">
      <c r="G28" s="126" t="s">
        <v>142</v>
      </c>
      <c r="H28" s="120" t="s">
        <v>142</v>
      </c>
      <c r="I28" s="103"/>
      <c r="J28" s="130"/>
      <c r="K28" s="127"/>
      <c r="L28" s="131"/>
      <c r="M28" s="129"/>
      <c r="N28" s="128"/>
      <c r="O28" s="120"/>
      <c r="P28" s="134" t="str">
        <f t="shared" si="3"/>
        <v>-</v>
      </c>
      <c r="Q28" s="134" t="str">
        <f t="shared" si="0"/>
        <v>-</v>
      </c>
      <c r="R28" s="156" t="str">
        <f t="shared" si="1"/>
        <v>-</v>
      </c>
      <c r="S28" s="154" t="str">
        <f t="shared" si="2"/>
        <v>-</v>
      </c>
      <c r="T28" s="135" t="str">
        <f t="shared" si="4"/>
        <v>-</v>
      </c>
      <c r="U28" s="123" t="s">
        <v>142</v>
      </c>
      <c r="V28" s="121" t="s">
        <v>142</v>
      </c>
      <c r="W28" s="124" t="s">
        <v>142</v>
      </c>
      <c r="X28" s="224"/>
      <c r="Y28" s="225"/>
    </row>
    <row r="29" spans="1:25" x14ac:dyDescent="0.2">
      <c r="G29" s="126" t="s">
        <v>142</v>
      </c>
      <c r="H29" s="120" t="s">
        <v>142</v>
      </c>
      <c r="I29" s="103"/>
      <c r="J29" s="130"/>
      <c r="K29" s="127"/>
      <c r="L29" s="131"/>
      <c r="M29" s="129"/>
      <c r="N29" s="128"/>
      <c r="O29" s="120"/>
      <c r="P29" s="134" t="str">
        <f t="shared" si="3"/>
        <v>-</v>
      </c>
      <c r="Q29" s="134" t="str">
        <f t="shared" si="0"/>
        <v>-</v>
      </c>
      <c r="R29" s="156" t="str">
        <f t="shared" si="1"/>
        <v>-</v>
      </c>
      <c r="S29" s="154" t="str">
        <f t="shared" si="2"/>
        <v>-</v>
      </c>
      <c r="T29" s="135" t="str">
        <f t="shared" si="4"/>
        <v>-</v>
      </c>
      <c r="U29" s="123" t="s">
        <v>142</v>
      </c>
      <c r="V29" s="121" t="s">
        <v>142</v>
      </c>
      <c r="W29" s="124" t="s">
        <v>142</v>
      </c>
      <c r="X29" s="224"/>
      <c r="Y29" s="225"/>
    </row>
    <row r="30" spans="1:25" x14ac:dyDescent="0.2">
      <c r="G30" s="126" t="s">
        <v>142</v>
      </c>
      <c r="H30" s="120" t="s">
        <v>142</v>
      </c>
      <c r="I30" s="103"/>
      <c r="J30" s="130"/>
      <c r="K30" s="127"/>
      <c r="L30" s="131"/>
      <c r="M30" s="129"/>
      <c r="N30" s="128"/>
      <c r="O30" s="120"/>
      <c r="P30" s="134" t="str">
        <f t="shared" si="3"/>
        <v>-</v>
      </c>
      <c r="Q30" s="134" t="str">
        <f t="shared" si="0"/>
        <v>-</v>
      </c>
      <c r="R30" s="156" t="str">
        <f t="shared" si="1"/>
        <v>-</v>
      </c>
      <c r="S30" s="154" t="str">
        <f t="shared" si="2"/>
        <v>-</v>
      </c>
      <c r="T30" s="135" t="str">
        <f t="shared" si="4"/>
        <v>-</v>
      </c>
      <c r="U30" s="123" t="s">
        <v>142</v>
      </c>
      <c r="V30" s="121" t="s">
        <v>142</v>
      </c>
      <c r="W30" s="124" t="s">
        <v>142</v>
      </c>
      <c r="X30" s="224"/>
      <c r="Y30" s="225"/>
    </row>
    <row r="31" spans="1:25" x14ac:dyDescent="0.2">
      <c r="G31" s="126" t="s">
        <v>142</v>
      </c>
      <c r="H31" s="120" t="s">
        <v>142</v>
      </c>
      <c r="I31" s="103"/>
      <c r="J31" s="130"/>
      <c r="K31" s="127"/>
      <c r="L31" s="131"/>
      <c r="M31" s="129"/>
      <c r="N31" s="128"/>
      <c r="O31" s="120"/>
      <c r="P31" s="134" t="str">
        <f t="shared" si="3"/>
        <v>-</v>
      </c>
      <c r="Q31" s="134" t="str">
        <f t="shared" si="0"/>
        <v>-</v>
      </c>
      <c r="R31" s="156" t="str">
        <f t="shared" si="1"/>
        <v>-</v>
      </c>
      <c r="S31" s="154" t="str">
        <f t="shared" si="2"/>
        <v>-</v>
      </c>
      <c r="T31" s="135" t="str">
        <f t="shared" si="4"/>
        <v>-</v>
      </c>
      <c r="U31" s="123" t="s">
        <v>142</v>
      </c>
      <c r="V31" s="121" t="s">
        <v>142</v>
      </c>
      <c r="W31" s="124" t="s">
        <v>142</v>
      </c>
      <c r="X31" s="224"/>
      <c r="Y31" s="225"/>
    </row>
    <row r="32" spans="1:25" x14ac:dyDescent="0.2">
      <c r="G32" s="126" t="s">
        <v>142</v>
      </c>
      <c r="H32" s="120" t="s">
        <v>142</v>
      </c>
      <c r="I32" s="103"/>
      <c r="J32" s="130"/>
      <c r="K32" s="127"/>
      <c r="L32" s="131"/>
      <c r="M32" s="129"/>
      <c r="N32" s="128"/>
      <c r="O32" s="120"/>
      <c r="P32" s="134" t="str">
        <f t="shared" si="3"/>
        <v>-</v>
      </c>
      <c r="Q32" s="134" t="str">
        <f t="shared" si="0"/>
        <v>-</v>
      </c>
      <c r="R32" s="156" t="str">
        <f t="shared" si="1"/>
        <v>-</v>
      </c>
      <c r="S32" s="154" t="str">
        <f t="shared" si="2"/>
        <v>-</v>
      </c>
      <c r="T32" s="135" t="str">
        <f t="shared" si="4"/>
        <v>-</v>
      </c>
      <c r="U32" s="123" t="s">
        <v>142</v>
      </c>
      <c r="V32" s="121" t="s">
        <v>142</v>
      </c>
      <c r="W32" s="124" t="s">
        <v>142</v>
      </c>
      <c r="X32" s="224"/>
      <c r="Y32" s="225"/>
    </row>
    <row r="33" spans="7:25" x14ac:dyDescent="0.2">
      <c r="G33" s="126" t="s">
        <v>142</v>
      </c>
      <c r="H33" s="120" t="s">
        <v>142</v>
      </c>
      <c r="I33" s="103"/>
      <c r="J33" s="130"/>
      <c r="K33" s="127"/>
      <c r="L33" s="131"/>
      <c r="M33" s="129"/>
      <c r="N33" s="128"/>
      <c r="O33" s="120"/>
      <c r="P33" s="134" t="str">
        <f t="shared" si="3"/>
        <v>-</v>
      </c>
      <c r="Q33" s="134" t="str">
        <f t="shared" si="0"/>
        <v>-</v>
      </c>
      <c r="R33" s="156" t="str">
        <f t="shared" si="1"/>
        <v>-</v>
      </c>
      <c r="S33" s="154" t="str">
        <f t="shared" si="2"/>
        <v>-</v>
      </c>
      <c r="T33" s="135" t="str">
        <f t="shared" si="4"/>
        <v>-</v>
      </c>
      <c r="U33" s="123" t="s">
        <v>142</v>
      </c>
      <c r="V33" s="121" t="s">
        <v>142</v>
      </c>
      <c r="W33" s="124" t="s">
        <v>142</v>
      </c>
      <c r="X33" s="224"/>
      <c r="Y33" s="225"/>
    </row>
    <row r="34" spans="7:25" x14ac:dyDescent="0.2">
      <c r="G34" s="126" t="s">
        <v>142</v>
      </c>
      <c r="H34" s="120" t="s">
        <v>142</v>
      </c>
      <c r="I34" s="103"/>
      <c r="J34" s="130"/>
      <c r="K34" s="127"/>
      <c r="L34" s="131"/>
      <c r="M34" s="129"/>
      <c r="N34" s="128"/>
      <c r="O34" s="120"/>
      <c r="P34" s="134" t="str">
        <f t="shared" si="3"/>
        <v>-</v>
      </c>
      <c r="Q34" s="134" t="str">
        <f t="shared" si="0"/>
        <v>-</v>
      </c>
      <c r="R34" s="156" t="str">
        <f t="shared" si="1"/>
        <v>-</v>
      </c>
      <c r="S34" s="154" t="str">
        <f t="shared" si="2"/>
        <v>-</v>
      </c>
      <c r="T34" s="135" t="str">
        <f t="shared" si="4"/>
        <v>-</v>
      </c>
      <c r="U34" s="123" t="s">
        <v>142</v>
      </c>
      <c r="V34" s="121" t="s">
        <v>142</v>
      </c>
      <c r="W34" s="124" t="s">
        <v>142</v>
      </c>
      <c r="X34" s="224"/>
      <c r="Y34" s="225"/>
    </row>
    <row r="35" spans="7:25" x14ac:dyDescent="0.2">
      <c r="G35" s="126" t="s">
        <v>142</v>
      </c>
      <c r="H35" s="120" t="s">
        <v>142</v>
      </c>
      <c r="I35" s="103"/>
      <c r="J35" s="130"/>
      <c r="K35" s="127"/>
      <c r="L35" s="131"/>
      <c r="M35" s="129"/>
      <c r="N35" s="128"/>
      <c r="O35" s="120"/>
      <c r="P35" s="134" t="str">
        <f t="shared" si="3"/>
        <v>-</v>
      </c>
      <c r="Q35" s="134" t="str">
        <f t="shared" si="0"/>
        <v>-</v>
      </c>
      <c r="R35" s="156" t="str">
        <f t="shared" si="1"/>
        <v>-</v>
      </c>
      <c r="S35" s="154" t="str">
        <f t="shared" si="2"/>
        <v>-</v>
      </c>
      <c r="T35" s="135" t="str">
        <f t="shared" si="4"/>
        <v>-</v>
      </c>
      <c r="U35" s="123" t="s">
        <v>142</v>
      </c>
      <c r="V35" s="121" t="s">
        <v>142</v>
      </c>
      <c r="W35" s="124" t="s">
        <v>142</v>
      </c>
      <c r="X35" s="224"/>
      <c r="Y35" s="225"/>
    </row>
    <row r="36" spans="7:25" x14ac:dyDescent="0.2">
      <c r="G36" s="126" t="s">
        <v>142</v>
      </c>
      <c r="H36" s="120" t="s">
        <v>142</v>
      </c>
      <c r="I36" s="103"/>
      <c r="J36" s="130"/>
      <c r="K36" s="127"/>
      <c r="L36" s="131"/>
      <c r="M36" s="129"/>
      <c r="N36" s="128"/>
      <c r="O36" s="120"/>
      <c r="P36" s="134" t="str">
        <f t="shared" si="3"/>
        <v>-</v>
      </c>
      <c r="Q36" s="134" t="str">
        <f t="shared" si="0"/>
        <v>-</v>
      </c>
      <c r="R36" s="156" t="str">
        <f t="shared" si="1"/>
        <v>-</v>
      </c>
      <c r="S36" s="154" t="str">
        <f t="shared" si="2"/>
        <v>-</v>
      </c>
      <c r="T36" s="135" t="str">
        <f t="shared" si="4"/>
        <v>-</v>
      </c>
      <c r="U36" s="123" t="s">
        <v>142</v>
      </c>
      <c r="V36" s="121" t="s">
        <v>142</v>
      </c>
      <c r="W36" s="124" t="s">
        <v>142</v>
      </c>
      <c r="X36" s="224"/>
      <c r="Y36" s="225"/>
    </row>
    <row r="37" spans="7:25" x14ac:dyDescent="0.2">
      <c r="G37" s="126" t="s">
        <v>142</v>
      </c>
      <c r="H37" s="120" t="s">
        <v>142</v>
      </c>
      <c r="I37" s="103"/>
      <c r="J37" s="130"/>
      <c r="K37" s="127"/>
      <c r="L37" s="131"/>
      <c r="M37" s="129"/>
      <c r="N37" s="128"/>
      <c r="O37" s="120"/>
      <c r="P37" s="134" t="str">
        <f t="shared" si="3"/>
        <v>-</v>
      </c>
      <c r="Q37" s="134" t="str">
        <f t="shared" si="0"/>
        <v>-</v>
      </c>
      <c r="R37" s="156" t="str">
        <f t="shared" si="1"/>
        <v>-</v>
      </c>
      <c r="S37" s="154" t="str">
        <f t="shared" si="2"/>
        <v>-</v>
      </c>
      <c r="T37" s="135" t="str">
        <f t="shared" si="4"/>
        <v>-</v>
      </c>
      <c r="U37" s="123" t="s">
        <v>142</v>
      </c>
      <c r="V37" s="121" t="s">
        <v>142</v>
      </c>
      <c r="W37" s="124" t="s">
        <v>142</v>
      </c>
      <c r="X37" s="224"/>
      <c r="Y37" s="225"/>
    </row>
    <row r="38" spans="7:25" x14ac:dyDescent="0.2">
      <c r="G38" s="126" t="s">
        <v>142</v>
      </c>
      <c r="H38" s="120" t="s">
        <v>142</v>
      </c>
      <c r="I38" s="103"/>
      <c r="J38" s="130"/>
      <c r="K38" s="127"/>
      <c r="L38" s="131"/>
      <c r="M38" s="129"/>
      <c r="N38" s="128"/>
      <c r="O38" s="120"/>
      <c r="P38" s="134" t="str">
        <f t="shared" si="3"/>
        <v>-</v>
      </c>
      <c r="Q38" s="134" t="str">
        <f t="shared" si="0"/>
        <v>-</v>
      </c>
      <c r="R38" s="156" t="str">
        <f t="shared" si="1"/>
        <v>-</v>
      </c>
      <c r="S38" s="154" t="str">
        <f t="shared" si="2"/>
        <v>-</v>
      </c>
      <c r="T38" s="135" t="str">
        <f t="shared" si="4"/>
        <v>-</v>
      </c>
      <c r="U38" s="123" t="s">
        <v>142</v>
      </c>
      <c r="V38" s="121" t="s">
        <v>142</v>
      </c>
      <c r="W38" s="124" t="s">
        <v>142</v>
      </c>
      <c r="X38" s="224"/>
      <c r="Y38" s="225"/>
    </row>
    <row r="39" spans="7:25" x14ac:dyDescent="0.2">
      <c r="G39" s="126" t="s">
        <v>142</v>
      </c>
      <c r="H39" s="120" t="s">
        <v>142</v>
      </c>
      <c r="I39" s="103"/>
      <c r="J39" s="130"/>
      <c r="K39" s="127"/>
      <c r="L39" s="131"/>
      <c r="M39" s="129"/>
      <c r="N39" s="128"/>
      <c r="O39" s="120"/>
      <c r="P39" s="134" t="str">
        <f t="shared" si="3"/>
        <v>-</v>
      </c>
      <c r="Q39" s="134" t="str">
        <f t="shared" si="0"/>
        <v>-</v>
      </c>
      <c r="R39" s="156" t="str">
        <f t="shared" si="1"/>
        <v>-</v>
      </c>
      <c r="S39" s="154" t="str">
        <f t="shared" si="2"/>
        <v>-</v>
      </c>
      <c r="T39" s="135" t="str">
        <f t="shared" si="4"/>
        <v>-</v>
      </c>
      <c r="U39" s="123" t="s">
        <v>142</v>
      </c>
      <c r="V39" s="121" t="s">
        <v>142</v>
      </c>
      <c r="W39" s="124" t="s">
        <v>142</v>
      </c>
      <c r="X39" s="224"/>
      <c r="Y39" s="225"/>
    </row>
    <row r="40" spans="7:25" x14ac:dyDescent="0.2">
      <c r="G40" s="126" t="s">
        <v>142</v>
      </c>
      <c r="H40" s="120" t="s">
        <v>142</v>
      </c>
      <c r="I40" s="103"/>
      <c r="J40" s="130"/>
      <c r="K40" s="127"/>
      <c r="L40" s="131"/>
      <c r="M40" s="129"/>
      <c r="N40" s="128"/>
      <c r="O40" s="120"/>
      <c r="P40" s="134" t="str">
        <f t="shared" si="3"/>
        <v>-</v>
      </c>
      <c r="Q40" s="134" t="str">
        <f t="shared" si="0"/>
        <v>-</v>
      </c>
      <c r="R40" s="156" t="str">
        <f t="shared" si="1"/>
        <v>-</v>
      </c>
      <c r="S40" s="154" t="str">
        <f t="shared" si="2"/>
        <v>-</v>
      </c>
      <c r="T40" s="135" t="str">
        <f t="shared" si="4"/>
        <v>-</v>
      </c>
      <c r="U40" s="123" t="s">
        <v>142</v>
      </c>
      <c r="V40" s="121" t="s">
        <v>142</v>
      </c>
      <c r="W40" s="124" t="s">
        <v>142</v>
      </c>
      <c r="X40" s="224"/>
      <c r="Y40" s="225"/>
    </row>
    <row r="41" spans="7:25" x14ac:dyDescent="0.2">
      <c r="G41" s="126" t="s">
        <v>142</v>
      </c>
      <c r="H41" s="120" t="s">
        <v>142</v>
      </c>
      <c r="I41" s="103"/>
      <c r="J41" s="130"/>
      <c r="K41" s="127"/>
      <c r="L41" s="131"/>
      <c r="M41" s="229"/>
      <c r="N41" s="230"/>
      <c r="O41" s="120"/>
      <c r="P41" s="134" t="str">
        <f t="shared" si="3"/>
        <v>-</v>
      </c>
      <c r="Q41" s="134" t="str">
        <f t="shared" si="0"/>
        <v>-</v>
      </c>
      <c r="R41" s="156" t="str">
        <f t="shared" si="1"/>
        <v>-</v>
      </c>
      <c r="S41" s="154" t="str">
        <f t="shared" si="2"/>
        <v>-</v>
      </c>
      <c r="T41" s="135" t="str">
        <f t="shared" si="4"/>
        <v>-</v>
      </c>
      <c r="U41" s="123" t="s">
        <v>142</v>
      </c>
      <c r="V41" s="121" t="s">
        <v>142</v>
      </c>
      <c r="W41" s="124" t="s">
        <v>142</v>
      </c>
      <c r="X41" s="224"/>
      <c r="Y41" s="225"/>
    </row>
    <row r="42" spans="7:25" x14ac:dyDescent="0.2">
      <c r="G42" s="126" t="s">
        <v>142</v>
      </c>
      <c r="H42" s="120" t="s">
        <v>142</v>
      </c>
      <c r="I42" s="103"/>
      <c r="J42" s="130"/>
      <c r="K42" s="127"/>
      <c r="L42" s="131"/>
      <c r="M42" s="229"/>
      <c r="N42" s="230"/>
      <c r="O42" s="120"/>
      <c r="P42" s="134" t="str">
        <f t="shared" si="3"/>
        <v>-</v>
      </c>
      <c r="Q42" s="134" t="str">
        <f t="shared" si="0"/>
        <v>-</v>
      </c>
      <c r="R42" s="156" t="str">
        <f t="shared" si="1"/>
        <v>-</v>
      </c>
      <c r="S42" s="154" t="str">
        <f t="shared" si="2"/>
        <v>-</v>
      </c>
      <c r="T42" s="135" t="str">
        <f t="shared" si="4"/>
        <v>-</v>
      </c>
      <c r="U42" s="123" t="s">
        <v>142</v>
      </c>
      <c r="V42" s="121" t="s">
        <v>142</v>
      </c>
      <c r="W42" s="124" t="s">
        <v>142</v>
      </c>
      <c r="X42" s="224"/>
      <c r="Y42" s="225"/>
    </row>
    <row r="43" spans="7:25" x14ac:dyDescent="0.2">
      <c r="G43" s="126" t="s">
        <v>142</v>
      </c>
      <c r="H43" s="120" t="s">
        <v>142</v>
      </c>
      <c r="I43" s="103"/>
      <c r="J43" s="130"/>
      <c r="K43" s="127"/>
      <c r="L43" s="131"/>
      <c r="M43" s="229"/>
      <c r="N43" s="230"/>
      <c r="O43" s="120"/>
      <c r="P43" s="134" t="str">
        <f t="shared" si="3"/>
        <v>-</v>
      </c>
      <c r="Q43" s="134" t="str">
        <f t="shared" si="0"/>
        <v>-</v>
      </c>
      <c r="R43" s="156" t="str">
        <f t="shared" si="1"/>
        <v>-</v>
      </c>
      <c r="S43" s="154" t="str">
        <f t="shared" si="2"/>
        <v>-</v>
      </c>
      <c r="T43" s="135" t="str">
        <f t="shared" si="4"/>
        <v>-</v>
      </c>
      <c r="U43" s="123" t="s">
        <v>142</v>
      </c>
      <c r="V43" s="121" t="s">
        <v>142</v>
      </c>
      <c r="W43" s="124" t="s">
        <v>142</v>
      </c>
      <c r="X43" s="224"/>
      <c r="Y43" s="225"/>
    </row>
    <row r="44" spans="7:25" x14ac:dyDescent="0.2">
      <c r="G44" s="126" t="s">
        <v>142</v>
      </c>
      <c r="H44" s="120" t="s">
        <v>142</v>
      </c>
      <c r="I44" s="103"/>
      <c r="J44" s="130"/>
      <c r="K44" s="127"/>
      <c r="L44" s="131"/>
      <c r="M44" s="229"/>
      <c r="N44" s="230"/>
      <c r="O44" s="120"/>
      <c r="P44" s="134" t="str">
        <f t="shared" si="3"/>
        <v>-</v>
      </c>
      <c r="Q44" s="134" t="str">
        <f t="shared" si="0"/>
        <v>-</v>
      </c>
      <c r="R44" s="156" t="str">
        <f t="shared" si="1"/>
        <v>-</v>
      </c>
      <c r="S44" s="154" t="str">
        <f t="shared" si="2"/>
        <v>-</v>
      </c>
      <c r="T44" s="135" t="str">
        <f t="shared" si="4"/>
        <v>-</v>
      </c>
      <c r="U44" s="123" t="s">
        <v>142</v>
      </c>
      <c r="V44" s="121" t="s">
        <v>142</v>
      </c>
      <c r="W44" s="124" t="s">
        <v>142</v>
      </c>
      <c r="X44" s="224"/>
      <c r="Y44" s="225"/>
    </row>
    <row r="45" spans="7:25" x14ac:dyDescent="0.2">
      <c r="G45" s="126" t="s">
        <v>142</v>
      </c>
      <c r="H45" s="120" t="s">
        <v>142</v>
      </c>
      <c r="I45" s="103"/>
      <c r="J45" s="130"/>
      <c r="K45" s="127"/>
      <c r="L45" s="131"/>
      <c r="M45" s="229"/>
      <c r="N45" s="230"/>
      <c r="O45" s="120"/>
      <c r="P45" s="134" t="str">
        <f t="shared" si="3"/>
        <v>-</v>
      </c>
      <c r="Q45" s="134" t="str">
        <f t="shared" si="0"/>
        <v>-</v>
      </c>
      <c r="R45" s="156" t="str">
        <f t="shared" si="1"/>
        <v>-</v>
      </c>
      <c r="S45" s="154" t="str">
        <f t="shared" si="2"/>
        <v>-</v>
      </c>
      <c r="T45" s="135" t="str">
        <f t="shared" si="4"/>
        <v>-</v>
      </c>
      <c r="U45" s="123" t="s">
        <v>142</v>
      </c>
      <c r="V45" s="121" t="s">
        <v>142</v>
      </c>
      <c r="W45" s="124" t="s">
        <v>142</v>
      </c>
      <c r="X45" s="224"/>
      <c r="Y45" s="225"/>
    </row>
    <row r="46" spans="7:25" x14ac:dyDescent="0.2">
      <c r="G46" s="126" t="s">
        <v>142</v>
      </c>
      <c r="H46" s="120" t="s">
        <v>142</v>
      </c>
      <c r="I46" s="103"/>
      <c r="J46" s="130"/>
      <c r="K46" s="127"/>
      <c r="L46" s="131"/>
      <c r="M46" s="229"/>
      <c r="N46" s="230"/>
      <c r="O46" s="120"/>
      <c r="P46" s="134" t="str">
        <f t="shared" si="3"/>
        <v>-</v>
      </c>
      <c r="Q46" s="134" t="str">
        <f t="shared" si="0"/>
        <v>-</v>
      </c>
      <c r="R46" s="156" t="str">
        <f t="shared" si="1"/>
        <v>-</v>
      </c>
      <c r="S46" s="154" t="str">
        <f t="shared" si="2"/>
        <v>-</v>
      </c>
      <c r="T46" s="135" t="str">
        <f t="shared" si="4"/>
        <v>-</v>
      </c>
      <c r="U46" s="123" t="s">
        <v>142</v>
      </c>
      <c r="V46" s="121" t="s">
        <v>142</v>
      </c>
      <c r="W46" s="124" t="s">
        <v>142</v>
      </c>
      <c r="X46" s="224"/>
      <c r="Y46" s="225"/>
    </row>
    <row r="47" spans="7:25" x14ac:dyDescent="0.2">
      <c r="G47" s="126" t="s">
        <v>142</v>
      </c>
      <c r="H47" s="120" t="s">
        <v>142</v>
      </c>
      <c r="I47" s="103"/>
      <c r="J47" s="130"/>
      <c r="K47" s="127"/>
      <c r="L47" s="131"/>
      <c r="M47" s="229"/>
      <c r="N47" s="230"/>
      <c r="O47" s="120"/>
      <c r="P47" s="134" t="str">
        <f t="shared" si="3"/>
        <v>-</v>
      </c>
      <c r="Q47" s="134" t="str">
        <f t="shared" si="0"/>
        <v>-</v>
      </c>
      <c r="R47" s="156" t="str">
        <f t="shared" si="1"/>
        <v>-</v>
      </c>
      <c r="S47" s="154" t="str">
        <f t="shared" si="2"/>
        <v>-</v>
      </c>
      <c r="T47" s="135" t="str">
        <f t="shared" si="4"/>
        <v>-</v>
      </c>
      <c r="U47" s="123" t="s">
        <v>142</v>
      </c>
      <c r="V47" s="121" t="s">
        <v>142</v>
      </c>
      <c r="W47" s="124" t="s">
        <v>142</v>
      </c>
      <c r="X47" s="224"/>
      <c r="Y47" s="225"/>
    </row>
    <row r="48" spans="7:25" x14ac:dyDescent="0.2">
      <c r="G48" s="126" t="s">
        <v>142</v>
      </c>
      <c r="H48" s="120" t="s">
        <v>142</v>
      </c>
      <c r="I48" s="103"/>
      <c r="J48" s="130"/>
      <c r="K48" s="127"/>
      <c r="L48" s="131"/>
      <c r="M48" s="229"/>
      <c r="N48" s="230"/>
      <c r="O48" s="120"/>
      <c r="P48" s="134" t="str">
        <f t="shared" si="3"/>
        <v>-</v>
      </c>
      <c r="Q48" s="134" t="str">
        <f t="shared" si="0"/>
        <v>-</v>
      </c>
      <c r="R48" s="156" t="str">
        <f t="shared" si="1"/>
        <v>-</v>
      </c>
      <c r="S48" s="154" t="str">
        <f t="shared" si="2"/>
        <v>-</v>
      </c>
      <c r="T48" s="135" t="str">
        <f t="shared" si="4"/>
        <v>-</v>
      </c>
      <c r="U48" s="123" t="s">
        <v>142</v>
      </c>
      <c r="V48" s="121" t="s">
        <v>142</v>
      </c>
      <c r="W48" s="124" t="s">
        <v>142</v>
      </c>
      <c r="X48" s="224"/>
      <c r="Y48" s="225"/>
    </row>
    <row r="49" spans="7:25" x14ac:dyDescent="0.2">
      <c r="G49" s="126" t="s">
        <v>142</v>
      </c>
      <c r="H49" s="120" t="s">
        <v>142</v>
      </c>
      <c r="I49" s="103"/>
      <c r="J49" s="130"/>
      <c r="K49" s="127"/>
      <c r="L49" s="131"/>
      <c r="M49" s="229"/>
      <c r="N49" s="230"/>
      <c r="O49" s="120"/>
      <c r="P49" s="134" t="str">
        <f t="shared" si="3"/>
        <v>-</v>
      </c>
      <c r="Q49" s="134" t="str">
        <f t="shared" si="0"/>
        <v>-</v>
      </c>
      <c r="R49" s="156" t="str">
        <f t="shared" si="1"/>
        <v>-</v>
      </c>
      <c r="S49" s="154" t="str">
        <f t="shared" si="2"/>
        <v>-</v>
      </c>
      <c r="T49" s="135" t="str">
        <f t="shared" si="4"/>
        <v>-</v>
      </c>
      <c r="U49" s="123" t="s">
        <v>142</v>
      </c>
      <c r="V49" s="121" t="s">
        <v>142</v>
      </c>
      <c r="W49" s="124" t="s">
        <v>142</v>
      </c>
      <c r="X49" s="224"/>
      <c r="Y49" s="225"/>
    </row>
    <row r="50" spans="7:25" x14ac:dyDescent="0.2">
      <c r="G50" s="126" t="s">
        <v>142</v>
      </c>
      <c r="H50" s="120" t="s">
        <v>142</v>
      </c>
      <c r="I50" s="103"/>
      <c r="J50" s="130"/>
      <c r="K50" s="127"/>
      <c r="L50" s="131"/>
      <c r="M50" s="229"/>
      <c r="N50" s="230"/>
      <c r="O50" s="120"/>
      <c r="P50" s="134" t="str">
        <f t="shared" si="3"/>
        <v>-</v>
      </c>
      <c r="Q50" s="134" t="str">
        <f t="shared" si="0"/>
        <v>-</v>
      </c>
      <c r="R50" s="156" t="str">
        <f t="shared" si="1"/>
        <v>-</v>
      </c>
      <c r="S50" s="154" t="str">
        <f t="shared" si="2"/>
        <v>-</v>
      </c>
      <c r="T50" s="135" t="str">
        <f t="shared" si="4"/>
        <v>-</v>
      </c>
      <c r="U50" s="123" t="s">
        <v>142</v>
      </c>
      <c r="V50" s="121" t="s">
        <v>142</v>
      </c>
      <c r="W50" s="124" t="s">
        <v>142</v>
      </c>
      <c r="X50" s="224"/>
      <c r="Y50" s="225"/>
    </row>
    <row r="51" spans="7:25" x14ac:dyDescent="0.2">
      <c r="G51" s="126" t="s">
        <v>142</v>
      </c>
      <c r="H51" s="120" t="s">
        <v>142</v>
      </c>
      <c r="I51" s="103"/>
      <c r="J51" s="130"/>
      <c r="K51" s="127"/>
      <c r="L51" s="131"/>
      <c r="M51" s="229"/>
      <c r="N51" s="230"/>
      <c r="O51" s="120"/>
      <c r="P51" s="134" t="str">
        <f t="shared" si="3"/>
        <v>-</v>
      </c>
      <c r="Q51" s="134" t="str">
        <f t="shared" si="0"/>
        <v>-</v>
      </c>
      <c r="R51" s="156" t="str">
        <f t="shared" si="1"/>
        <v>-</v>
      </c>
      <c r="S51" s="154" t="str">
        <f t="shared" si="2"/>
        <v>-</v>
      </c>
      <c r="T51" s="135" t="str">
        <f t="shared" si="4"/>
        <v>-</v>
      </c>
      <c r="U51" s="123" t="s">
        <v>142</v>
      </c>
      <c r="V51" s="121" t="s">
        <v>142</v>
      </c>
      <c r="W51" s="124" t="s">
        <v>142</v>
      </c>
      <c r="X51" s="224"/>
      <c r="Y51" s="225"/>
    </row>
    <row r="52" spans="7:25" x14ac:dyDescent="0.2">
      <c r="G52" s="126" t="s">
        <v>142</v>
      </c>
      <c r="H52" s="120" t="s">
        <v>142</v>
      </c>
      <c r="I52" s="103"/>
      <c r="J52" s="130"/>
      <c r="K52" s="127"/>
      <c r="L52" s="131"/>
      <c r="M52" s="229"/>
      <c r="N52" s="230"/>
      <c r="O52" s="120"/>
      <c r="P52" s="134" t="str">
        <f t="shared" si="3"/>
        <v>-</v>
      </c>
      <c r="Q52" s="134" t="str">
        <f t="shared" si="0"/>
        <v>-</v>
      </c>
      <c r="R52" s="156" t="str">
        <f t="shared" si="1"/>
        <v>-</v>
      </c>
      <c r="S52" s="154" t="str">
        <f t="shared" si="2"/>
        <v>-</v>
      </c>
      <c r="T52" s="135" t="str">
        <f t="shared" si="4"/>
        <v>-</v>
      </c>
      <c r="U52" s="123" t="s">
        <v>142</v>
      </c>
      <c r="V52" s="121" t="s">
        <v>142</v>
      </c>
      <c r="W52" s="124" t="s">
        <v>142</v>
      </c>
      <c r="X52" s="224"/>
      <c r="Y52" s="225"/>
    </row>
    <row r="53" spans="7:25" x14ac:dyDescent="0.2">
      <c r="G53" s="126" t="s">
        <v>142</v>
      </c>
      <c r="H53" s="120" t="s">
        <v>142</v>
      </c>
      <c r="I53" s="103"/>
      <c r="J53" s="130"/>
      <c r="K53" s="127"/>
      <c r="L53" s="131"/>
      <c r="M53" s="229"/>
      <c r="N53" s="230"/>
      <c r="O53" s="120"/>
      <c r="P53" s="134" t="str">
        <f t="shared" si="3"/>
        <v>-</v>
      </c>
      <c r="Q53" s="134" t="str">
        <f t="shared" si="0"/>
        <v>-</v>
      </c>
      <c r="R53" s="156" t="str">
        <f t="shared" si="1"/>
        <v>-</v>
      </c>
      <c r="S53" s="154" t="str">
        <f t="shared" si="2"/>
        <v>-</v>
      </c>
      <c r="T53" s="135" t="str">
        <f t="shared" si="4"/>
        <v>-</v>
      </c>
      <c r="U53" s="123" t="s">
        <v>142</v>
      </c>
      <c r="V53" s="121" t="s">
        <v>142</v>
      </c>
      <c r="W53" s="124" t="s">
        <v>142</v>
      </c>
      <c r="X53" s="224"/>
      <c r="Y53" s="225"/>
    </row>
    <row r="54" spans="7:25" x14ac:dyDescent="0.2">
      <c r="G54" s="126" t="s">
        <v>142</v>
      </c>
      <c r="H54" s="120" t="s">
        <v>142</v>
      </c>
      <c r="I54" s="103"/>
      <c r="J54" s="130"/>
      <c r="K54" s="127"/>
      <c r="L54" s="131"/>
      <c r="M54" s="229"/>
      <c r="N54" s="230"/>
      <c r="O54" s="120"/>
      <c r="P54" s="134" t="str">
        <f t="shared" si="3"/>
        <v>-</v>
      </c>
      <c r="Q54" s="134" t="str">
        <f t="shared" si="0"/>
        <v>-</v>
      </c>
      <c r="R54" s="156" t="str">
        <f t="shared" si="1"/>
        <v>-</v>
      </c>
      <c r="S54" s="154" t="str">
        <f t="shared" si="2"/>
        <v>-</v>
      </c>
      <c r="T54" s="135" t="str">
        <f t="shared" si="4"/>
        <v>-</v>
      </c>
      <c r="U54" s="123" t="s">
        <v>142</v>
      </c>
      <c r="V54" s="121" t="s">
        <v>142</v>
      </c>
      <c r="W54" s="124" t="s">
        <v>142</v>
      </c>
      <c r="X54" s="224"/>
      <c r="Y54" s="225"/>
    </row>
    <row r="55" spans="7:25" x14ac:dyDescent="0.2">
      <c r="G55" s="126" t="s">
        <v>142</v>
      </c>
      <c r="H55" s="120" t="s">
        <v>142</v>
      </c>
      <c r="I55" s="103"/>
      <c r="J55" s="130"/>
      <c r="K55" s="127"/>
      <c r="L55" s="131"/>
      <c r="M55" s="229"/>
      <c r="N55" s="230"/>
      <c r="O55" s="120"/>
      <c r="P55" s="134" t="str">
        <f t="shared" si="3"/>
        <v>-</v>
      </c>
      <c r="Q55" s="134" t="str">
        <f t="shared" si="0"/>
        <v>-</v>
      </c>
      <c r="R55" s="156" t="str">
        <f t="shared" si="1"/>
        <v>-</v>
      </c>
      <c r="S55" s="154" t="str">
        <f t="shared" si="2"/>
        <v>-</v>
      </c>
      <c r="T55" s="135" t="str">
        <f t="shared" si="4"/>
        <v>-</v>
      </c>
      <c r="U55" s="123" t="s">
        <v>142</v>
      </c>
      <c r="V55" s="121" t="s">
        <v>142</v>
      </c>
      <c r="W55" s="124" t="s">
        <v>142</v>
      </c>
      <c r="X55" s="224"/>
      <c r="Y55" s="225"/>
    </row>
    <row r="56" spans="7:25" x14ac:dyDescent="0.2">
      <c r="G56" s="126" t="s">
        <v>142</v>
      </c>
      <c r="H56" s="120" t="s">
        <v>142</v>
      </c>
      <c r="I56" s="103"/>
      <c r="J56" s="130"/>
      <c r="K56" s="127"/>
      <c r="L56" s="131"/>
      <c r="M56" s="229"/>
      <c r="N56" s="230"/>
      <c r="O56" s="120"/>
      <c r="P56" s="134" t="str">
        <f t="shared" si="3"/>
        <v>-</v>
      </c>
      <c r="Q56" s="134" t="str">
        <f t="shared" si="0"/>
        <v>-</v>
      </c>
      <c r="R56" s="155" t="str">
        <f t="shared" si="1"/>
        <v>-</v>
      </c>
      <c r="S56" s="154" t="str">
        <f t="shared" si="2"/>
        <v>-</v>
      </c>
      <c r="T56" s="135" t="str">
        <f t="shared" si="4"/>
        <v>-</v>
      </c>
      <c r="U56" s="123" t="s">
        <v>142</v>
      </c>
      <c r="V56" s="121" t="s">
        <v>142</v>
      </c>
      <c r="W56" s="124" t="s">
        <v>142</v>
      </c>
      <c r="X56" s="224"/>
      <c r="Y56" s="225"/>
    </row>
    <row r="57" spans="7:25" x14ac:dyDescent="0.2">
      <c r="G57" s="126" t="s">
        <v>142</v>
      </c>
      <c r="H57" s="120" t="s">
        <v>142</v>
      </c>
      <c r="I57" s="103"/>
      <c r="J57" s="130"/>
      <c r="K57" s="127"/>
      <c r="L57" s="131"/>
      <c r="M57" s="229"/>
      <c r="N57" s="230"/>
      <c r="O57" s="120"/>
      <c r="P57" s="134" t="str">
        <f t="shared" si="3"/>
        <v>-</v>
      </c>
      <c r="Q57" s="134" t="str">
        <f t="shared" si="0"/>
        <v>-</v>
      </c>
      <c r="R57" s="156" t="str">
        <f t="shared" si="1"/>
        <v>-</v>
      </c>
      <c r="S57" s="154" t="str">
        <f t="shared" si="2"/>
        <v>-</v>
      </c>
      <c r="T57" s="135" t="str">
        <f t="shared" si="4"/>
        <v>-</v>
      </c>
      <c r="U57" s="123" t="s">
        <v>142</v>
      </c>
      <c r="V57" s="121" t="s">
        <v>142</v>
      </c>
      <c r="W57" s="124" t="s">
        <v>142</v>
      </c>
      <c r="X57" s="224"/>
      <c r="Y57" s="225"/>
    </row>
    <row r="58" spans="7:25" x14ac:dyDescent="0.2">
      <c r="G58" s="126" t="s">
        <v>142</v>
      </c>
      <c r="H58" s="120" t="s">
        <v>142</v>
      </c>
      <c r="I58" s="103"/>
      <c r="J58" s="130"/>
      <c r="K58" s="127"/>
      <c r="L58" s="131"/>
      <c r="M58" s="229"/>
      <c r="N58" s="230"/>
      <c r="O58" s="120"/>
      <c r="P58" s="134" t="str">
        <f t="shared" si="3"/>
        <v>-</v>
      </c>
      <c r="Q58" s="134" t="str">
        <f t="shared" si="0"/>
        <v>-</v>
      </c>
      <c r="R58" s="156" t="str">
        <f t="shared" si="1"/>
        <v>-</v>
      </c>
      <c r="S58" s="154" t="str">
        <f t="shared" si="2"/>
        <v>-</v>
      </c>
      <c r="T58" s="135" t="str">
        <f t="shared" si="4"/>
        <v>-</v>
      </c>
      <c r="U58" s="123" t="s">
        <v>142</v>
      </c>
      <c r="V58" s="121" t="s">
        <v>142</v>
      </c>
      <c r="W58" s="124" t="s">
        <v>142</v>
      </c>
      <c r="X58" s="224"/>
      <c r="Y58" s="225"/>
    </row>
    <row r="59" spans="7:25" x14ac:dyDescent="0.2">
      <c r="G59" s="126" t="s">
        <v>142</v>
      </c>
      <c r="H59" s="120" t="s">
        <v>142</v>
      </c>
      <c r="I59" s="103"/>
      <c r="J59" s="130"/>
      <c r="K59" s="127"/>
      <c r="L59" s="131"/>
      <c r="M59" s="229"/>
      <c r="N59" s="230"/>
      <c r="O59" s="120"/>
      <c r="P59" s="134" t="str">
        <f t="shared" si="3"/>
        <v>-</v>
      </c>
      <c r="Q59" s="134" t="str">
        <f t="shared" si="0"/>
        <v>-</v>
      </c>
      <c r="R59" s="156" t="str">
        <f t="shared" si="1"/>
        <v>-</v>
      </c>
      <c r="S59" s="154" t="str">
        <f t="shared" si="2"/>
        <v>-</v>
      </c>
      <c r="T59" s="135" t="str">
        <f t="shared" si="4"/>
        <v>-</v>
      </c>
      <c r="U59" s="123" t="s">
        <v>142</v>
      </c>
      <c r="V59" s="121" t="s">
        <v>142</v>
      </c>
      <c r="W59" s="124" t="s">
        <v>142</v>
      </c>
      <c r="X59" s="224"/>
      <c r="Y59" s="225"/>
    </row>
    <row r="60" spans="7:25" x14ac:dyDescent="0.2">
      <c r="G60" s="126" t="s">
        <v>142</v>
      </c>
      <c r="H60" s="120" t="s">
        <v>142</v>
      </c>
      <c r="I60" s="103"/>
      <c r="J60" s="130"/>
      <c r="K60" s="127"/>
      <c r="L60" s="131"/>
      <c r="M60" s="229"/>
      <c r="N60" s="230"/>
      <c r="O60" s="120"/>
      <c r="P60" s="134" t="str">
        <f t="shared" si="3"/>
        <v>-</v>
      </c>
      <c r="Q60" s="134" t="str">
        <f t="shared" si="0"/>
        <v>-</v>
      </c>
      <c r="R60" s="156" t="str">
        <f t="shared" si="1"/>
        <v>-</v>
      </c>
      <c r="S60" s="154" t="str">
        <f t="shared" si="2"/>
        <v>-</v>
      </c>
      <c r="T60" s="135" t="str">
        <f t="shared" si="4"/>
        <v>-</v>
      </c>
      <c r="U60" s="123" t="s">
        <v>142</v>
      </c>
      <c r="V60" s="121" t="s">
        <v>142</v>
      </c>
      <c r="W60" s="124" t="s">
        <v>142</v>
      </c>
      <c r="X60" s="224"/>
      <c r="Y60" s="225"/>
    </row>
    <row r="61" spans="7:25" x14ac:dyDescent="0.2">
      <c r="G61" s="126" t="s">
        <v>142</v>
      </c>
      <c r="H61" s="120" t="s">
        <v>142</v>
      </c>
      <c r="I61" s="103"/>
      <c r="J61" s="130"/>
      <c r="K61" s="127"/>
      <c r="L61" s="131"/>
      <c r="M61" s="229"/>
      <c r="N61" s="230"/>
      <c r="O61" s="120"/>
      <c r="P61" s="134" t="str">
        <f t="shared" si="3"/>
        <v>-</v>
      </c>
      <c r="Q61" s="134" t="str">
        <f t="shared" si="0"/>
        <v>-</v>
      </c>
      <c r="R61" s="156" t="str">
        <f t="shared" si="1"/>
        <v>-</v>
      </c>
      <c r="S61" s="154" t="str">
        <f t="shared" si="2"/>
        <v>-</v>
      </c>
      <c r="T61" s="135" t="str">
        <f t="shared" si="4"/>
        <v>-</v>
      </c>
      <c r="U61" s="123" t="s">
        <v>142</v>
      </c>
      <c r="V61" s="121" t="s">
        <v>142</v>
      </c>
      <c r="W61" s="124" t="s">
        <v>142</v>
      </c>
      <c r="X61" s="224"/>
      <c r="Y61" s="225"/>
    </row>
    <row r="62" spans="7:25" x14ac:dyDescent="0.2">
      <c r="G62" s="126" t="s">
        <v>142</v>
      </c>
      <c r="H62" s="120" t="s">
        <v>142</v>
      </c>
      <c r="I62" s="103"/>
      <c r="J62" s="130"/>
      <c r="K62" s="127"/>
      <c r="L62" s="131"/>
      <c r="M62" s="229"/>
      <c r="N62" s="230"/>
      <c r="O62" s="120"/>
      <c r="P62" s="134" t="str">
        <f t="shared" si="3"/>
        <v>-</v>
      </c>
      <c r="Q62" s="134" t="str">
        <f t="shared" si="0"/>
        <v>-</v>
      </c>
      <c r="R62" s="156" t="str">
        <f t="shared" si="1"/>
        <v>-</v>
      </c>
      <c r="S62" s="154" t="str">
        <f t="shared" si="2"/>
        <v>-</v>
      </c>
      <c r="T62" s="135" t="str">
        <f t="shared" si="4"/>
        <v>-</v>
      </c>
      <c r="U62" s="123" t="s">
        <v>142</v>
      </c>
      <c r="V62" s="121" t="s">
        <v>142</v>
      </c>
      <c r="W62" s="124" t="s">
        <v>142</v>
      </c>
      <c r="X62" s="224"/>
      <c r="Y62" s="225"/>
    </row>
    <row r="63" spans="7:25" x14ac:dyDescent="0.2">
      <c r="G63" s="126" t="s">
        <v>142</v>
      </c>
      <c r="H63" s="120" t="s">
        <v>142</v>
      </c>
      <c r="I63" s="103"/>
      <c r="J63" s="130"/>
      <c r="K63" s="127"/>
      <c r="L63" s="131"/>
      <c r="M63" s="229"/>
      <c r="N63" s="230"/>
      <c r="O63" s="120"/>
      <c r="P63" s="134" t="str">
        <f t="shared" si="3"/>
        <v>-</v>
      </c>
      <c r="Q63" s="134" t="str">
        <f t="shared" si="0"/>
        <v>-</v>
      </c>
      <c r="R63" s="156" t="str">
        <f t="shared" si="1"/>
        <v>-</v>
      </c>
      <c r="S63" s="154" t="str">
        <f t="shared" si="2"/>
        <v>-</v>
      </c>
      <c r="T63" s="135" t="str">
        <f t="shared" si="4"/>
        <v>-</v>
      </c>
      <c r="U63" s="123" t="s">
        <v>142</v>
      </c>
      <c r="V63" s="121" t="s">
        <v>142</v>
      </c>
      <c r="W63" s="124" t="s">
        <v>142</v>
      </c>
      <c r="X63" s="224"/>
      <c r="Y63" s="225"/>
    </row>
    <row r="64" spans="7:25" x14ac:dyDescent="0.2">
      <c r="G64" s="126" t="s">
        <v>142</v>
      </c>
      <c r="H64" s="120" t="s">
        <v>142</v>
      </c>
      <c r="I64" s="103"/>
      <c r="J64" s="130"/>
      <c r="K64" s="127"/>
      <c r="L64" s="131"/>
      <c r="M64" s="229"/>
      <c r="N64" s="230"/>
      <c r="O64" s="120"/>
      <c r="P64" s="134" t="str">
        <f t="shared" si="3"/>
        <v>-</v>
      </c>
      <c r="Q64" s="134" t="str">
        <f t="shared" si="0"/>
        <v>-</v>
      </c>
      <c r="R64" s="156" t="str">
        <f t="shared" si="1"/>
        <v>-</v>
      </c>
      <c r="S64" s="154" t="str">
        <f t="shared" si="2"/>
        <v>-</v>
      </c>
      <c r="T64" s="135" t="str">
        <f t="shared" si="4"/>
        <v>-</v>
      </c>
      <c r="U64" s="123" t="s">
        <v>142</v>
      </c>
      <c r="V64" s="121" t="s">
        <v>142</v>
      </c>
      <c r="W64" s="124" t="s">
        <v>142</v>
      </c>
      <c r="X64" s="224"/>
      <c r="Y64" s="225"/>
    </row>
    <row r="65" spans="1:25" x14ac:dyDescent="0.2">
      <c r="G65" s="126" t="s">
        <v>142</v>
      </c>
      <c r="H65" s="120" t="s">
        <v>142</v>
      </c>
      <c r="I65" s="103"/>
      <c r="J65" s="130"/>
      <c r="K65" s="127"/>
      <c r="L65" s="131"/>
      <c r="M65" s="229"/>
      <c r="N65" s="230"/>
      <c r="O65" s="120"/>
      <c r="P65" s="134" t="str">
        <f t="shared" si="3"/>
        <v>-</v>
      </c>
      <c r="Q65" s="134" t="str">
        <f t="shared" si="0"/>
        <v>-</v>
      </c>
      <c r="R65" s="156" t="str">
        <f t="shared" si="1"/>
        <v>-</v>
      </c>
      <c r="S65" s="154" t="str">
        <f t="shared" si="2"/>
        <v>-</v>
      </c>
      <c r="T65" s="135" t="str">
        <f t="shared" si="4"/>
        <v>-</v>
      </c>
      <c r="U65" s="123" t="s">
        <v>142</v>
      </c>
      <c r="V65" s="121" t="s">
        <v>142</v>
      </c>
      <c r="W65" s="124" t="s">
        <v>142</v>
      </c>
      <c r="X65" s="224"/>
      <c r="Y65" s="225"/>
    </row>
    <row r="66" spans="1:25" x14ac:dyDescent="0.2">
      <c r="G66" s="126" t="s">
        <v>142</v>
      </c>
      <c r="H66" s="120" t="s">
        <v>142</v>
      </c>
      <c r="I66" s="103"/>
      <c r="J66" s="130"/>
      <c r="K66" s="127"/>
      <c r="L66" s="131"/>
      <c r="M66" s="229"/>
      <c r="N66" s="230"/>
      <c r="O66" s="120"/>
      <c r="P66" s="134" t="str">
        <f t="shared" si="3"/>
        <v>-</v>
      </c>
      <c r="Q66" s="134" t="str">
        <f t="shared" si="0"/>
        <v>-</v>
      </c>
      <c r="R66" s="156" t="str">
        <f t="shared" si="1"/>
        <v>-</v>
      </c>
      <c r="S66" s="154" t="str">
        <f t="shared" si="2"/>
        <v>-</v>
      </c>
      <c r="T66" s="135" t="str">
        <f t="shared" si="4"/>
        <v>-</v>
      </c>
      <c r="U66" s="123" t="s">
        <v>142</v>
      </c>
      <c r="V66" s="121" t="s">
        <v>142</v>
      </c>
      <c r="W66" s="124" t="s">
        <v>142</v>
      </c>
      <c r="X66" s="224"/>
      <c r="Y66" s="225"/>
    </row>
    <row r="67" spans="1:25" x14ac:dyDescent="0.2">
      <c r="G67" s="126" t="s">
        <v>142</v>
      </c>
      <c r="H67" s="120" t="s">
        <v>142</v>
      </c>
      <c r="I67" s="103"/>
      <c r="J67" s="130"/>
      <c r="K67" s="127"/>
      <c r="L67" s="131"/>
      <c r="M67" s="229"/>
      <c r="N67" s="230"/>
      <c r="O67" s="120"/>
      <c r="P67" s="134" t="str">
        <f t="shared" si="3"/>
        <v>-</v>
      </c>
      <c r="Q67" s="134" t="str">
        <f t="shared" si="0"/>
        <v>-</v>
      </c>
      <c r="R67" s="156" t="str">
        <f t="shared" si="1"/>
        <v>-</v>
      </c>
      <c r="S67" s="154" t="str">
        <f t="shared" si="2"/>
        <v>-</v>
      </c>
      <c r="T67" s="135" t="str">
        <f t="shared" si="4"/>
        <v>-</v>
      </c>
      <c r="U67" s="123" t="s">
        <v>142</v>
      </c>
      <c r="V67" s="121" t="s">
        <v>142</v>
      </c>
      <c r="W67" s="124" t="s">
        <v>142</v>
      </c>
      <c r="X67" s="224"/>
      <c r="Y67" s="225"/>
    </row>
    <row r="68" spans="1:25" x14ac:dyDescent="0.2">
      <c r="G68" s="126" t="s">
        <v>142</v>
      </c>
      <c r="H68" s="120" t="s">
        <v>142</v>
      </c>
      <c r="I68" s="103"/>
      <c r="J68" s="130"/>
      <c r="K68" s="127"/>
      <c r="L68" s="131"/>
      <c r="M68" s="229"/>
      <c r="N68" s="230"/>
      <c r="O68" s="120"/>
      <c r="P68" s="134" t="str">
        <f t="shared" si="3"/>
        <v>-</v>
      </c>
      <c r="Q68" s="134" t="str">
        <f t="shared" si="0"/>
        <v>-</v>
      </c>
      <c r="R68" s="156" t="str">
        <f t="shared" si="1"/>
        <v>-</v>
      </c>
      <c r="S68" s="154" t="str">
        <f t="shared" si="2"/>
        <v>-</v>
      </c>
      <c r="T68" s="135" t="str">
        <f t="shared" si="4"/>
        <v>-</v>
      </c>
      <c r="U68" s="123" t="s">
        <v>142</v>
      </c>
      <c r="V68" s="121" t="s">
        <v>142</v>
      </c>
      <c r="W68" s="124" t="s">
        <v>142</v>
      </c>
      <c r="X68" s="224"/>
      <c r="Y68" s="225"/>
    </row>
    <row r="69" spans="1:25" x14ac:dyDescent="0.2">
      <c r="G69" s="126" t="s">
        <v>142</v>
      </c>
      <c r="H69" s="120" t="s">
        <v>142</v>
      </c>
      <c r="I69" s="103"/>
      <c r="J69" s="130"/>
      <c r="K69" s="127"/>
      <c r="L69" s="131"/>
      <c r="M69" s="229"/>
      <c r="N69" s="230"/>
      <c r="O69" s="120"/>
      <c r="P69" s="134" t="str">
        <f t="shared" si="3"/>
        <v>-</v>
      </c>
      <c r="Q69" s="134" t="str">
        <f t="shared" si="0"/>
        <v>-</v>
      </c>
      <c r="R69" s="156" t="str">
        <f t="shared" si="1"/>
        <v>-</v>
      </c>
      <c r="S69" s="154" t="str">
        <f t="shared" si="2"/>
        <v>-</v>
      </c>
      <c r="T69" s="135" t="str">
        <f t="shared" si="4"/>
        <v>-</v>
      </c>
      <c r="U69" s="123" t="s">
        <v>142</v>
      </c>
      <c r="V69" s="121" t="s">
        <v>142</v>
      </c>
      <c r="W69" s="124" t="s">
        <v>142</v>
      </c>
      <c r="X69" s="224"/>
      <c r="Y69" s="225"/>
    </row>
    <row r="70" spans="1:25" x14ac:dyDescent="0.2">
      <c r="G70" s="126" t="s">
        <v>142</v>
      </c>
      <c r="H70" s="120" t="s">
        <v>142</v>
      </c>
      <c r="I70" s="103"/>
      <c r="J70" s="130"/>
      <c r="K70" s="127"/>
      <c r="L70" s="131"/>
      <c r="M70" s="229"/>
      <c r="N70" s="230"/>
      <c r="O70" s="120"/>
      <c r="P70" s="134" t="str">
        <f t="shared" si="3"/>
        <v>-</v>
      </c>
      <c r="Q70" s="134" t="str">
        <f t="shared" si="0"/>
        <v>-</v>
      </c>
      <c r="R70" s="156" t="str">
        <f t="shared" si="1"/>
        <v>-</v>
      </c>
      <c r="S70" s="154" t="str">
        <f t="shared" si="2"/>
        <v>-</v>
      </c>
      <c r="T70" s="135" t="str">
        <f t="shared" si="4"/>
        <v>-</v>
      </c>
      <c r="U70" s="123" t="s">
        <v>142</v>
      </c>
      <c r="V70" s="121" t="s">
        <v>142</v>
      </c>
      <c r="W70" s="124" t="s">
        <v>142</v>
      </c>
      <c r="X70" s="224"/>
      <c r="Y70" s="225"/>
    </row>
    <row r="71" spans="1:25" x14ac:dyDescent="0.2">
      <c r="G71" s="126" t="s">
        <v>142</v>
      </c>
      <c r="H71" s="120" t="s">
        <v>142</v>
      </c>
      <c r="I71" s="103"/>
      <c r="J71" s="130"/>
      <c r="K71" s="127"/>
      <c r="L71" s="131"/>
      <c r="M71" s="229"/>
      <c r="N71" s="230"/>
      <c r="O71" s="120"/>
      <c r="P71" s="134" t="str">
        <f t="shared" si="3"/>
        <v>-</v>
      </c>
      <c r="Q71" s="134" t="str">
        <f t="shared" si="0"/>
        <v>-</v>
      </c>
      <c r="R71" s="156" t="str">
        <f t="shared" si="1"/>
        <v>-</v>
      </c>
      <c r="S71" s="154" t="str">
        <f t="shared" si="2"/>
        <v>-</v>
      </c>
      <c r="T71" s="135" t="str">
        <f t="shared" si="4"/>
        <v>-</v>
      </c>
      <c r="U71" s="123" t="s">
        <v>142</v>
      </c>
      <c r="V71" s="121" t="s">
        <v>142</v>
      </c>
      <c r="W71" s="124" t="s">
        <v>142</v>
      </c>
      <c r="X71" s="224"/>
      <c r="Y71" s="225"/>
    </row>
    <row r="72" spans="1:25" x14ac:dyDescent="0.2">
      <c r="G72" s="126" t="s">
        <v>142</v>
      </c>
      <c r="H72" s="120" t="s">
        <v>142</v>
      </c>
      <c r="I72" s="103"/>
      <c r="J72" s="130"/>
      <c r="K72" s="127"/>
      <c r="L72" s="131"/>
      <c r="M72" s="229"/>
      <c r="N72" s="230"/>
      <c r="O72" s="120"/>
      <c r="P72" s="134" t="str">
        <f t="shared" si="3"/>
        <v>-</v>
      </c>
      <c r="Q72" s="134" t="str">
        <f t="shared" si="0"/>
        <v>-</v>
      </c>
      <c r="R72" s="156" t="str">
        <f t="shared" si="1"/>
        <v>-</v>
      </c>
      <c r="S72" s="154" t="str">
        <f t="shared" si="2"/>
        <v>-</v>
      </c>
      <c r="T72" s="135" t="str">
        <f t="shared" si="4"/>
        <v>-</v>
      </c>
      <c r="U72" s="123" t="s">
        <v>142</v>
      </c>
      <c r="V72" s="121" t="s">
        <v>142</v>
      </c>
      <c r="W72" s="124" t="s">
        <v>142</v>
      </c>
      <c r="X72" s="224"/>
      <c r="Y72" s="225"/>
    </row>
    <row r="73" spans="1:25" x14ac:dyDescent="0.2">
      <c r="G73" s="126" t="s">
        <v>142</v>
      </c>
      <c r="H73" s="120" t="s">
        <v>142</v>
      </c>
      <c r="I73" s="103"/>
      <c r="J73" s="130"/>
      <c r="K73" s="127"/>
      <c r="L73" s="131"/>
      <c r="M73" s="229"/>
      <c r="N73" s="230"/>
      <c r="O73" s="120"/>
      <c r="P73" s="134" t="str">
        <f t="shared" si="3"/>
        <v>-</v>
      </c>
      <c r="Q73" s="134" t="str">
        <f t="shared" si="0"/>
        <v>-</v>
      </c>
      <c r="R73" s="156" t="str">
        <f t="shared" si="1"/>
        <v>-</v>
      </c>
      <c r="S73" s="154" t="str">
        <f t="shared" si="2"/>
        <v>-</v>
      </c>
      <c r="T73" s="135" t="str">
        <f t="shared" si="4"/>
        <v>-</v>
      </c>
      <c r="U73" s="123" t="s">
        <v>142</v>
      </c>
      <c r="V73" s="121" t="s">
        <v>142</v>
      </c>
      <c r="W73" s="124" t="s">
        <v>142</v>
      </c>
      <c r="X73" s="224"/>
      <c r="Y73" s="225"/>
    </row>
    <row r="74" spans="1:25" x14ac:dyDescent="0.2">
      <c r="G74" s="126" t="s">
        <v>142</v>
      </c>
      <c r="H74" s="120" t="s">
        <v>142</v>
      </c>
      <c r="I74" s="103"/>
      <c r="J74" s="130"/>
      <c r="K74" s="127"/>
      <c r="L74" s="131"/>
      <c r="M74" s="229"/>
      <c r="N74" s="230"/>
      <c r="O74" s="120"/>
      <c r="P74" s="134" t="str">
        <f t="shared" si="3"/>
        <v>-</v>
      </c>
      <c r="Q74" s="134" t="str">
        <f t="shared" si="0"/>
        <v>-</v>
      </c>
      <c r="R74" s="156" t="str">
        <f t="shared" si="1"/>
        <v>-</v>
      </c>
      <c r="S74" s="154" t="str">
        <f t="shared" si="2"/>
        <v>-</v>
      </c>
      <c r="T74" s="135" t="str">
        <f t="shared" si="4"/>
        <v>-</v>
      </c>
      <c r="U74" s="123" t="s">
        <v>142</v>
      </c>
      <c r="V74" s="121" t="s">
        <v>142</v>
      </c>
      <c r="W74" s="124" t="s">
        <v>142</v>
      </c>
      <c r="X74" s="224"/>
      <c r="Y74" s="225"/>
    </row>
    <row r="75" spans="1:25" x14ac:dyDescent="0.2">
      <c r="G75" s="126" t="s">
        <v>142</v>
      </c>
      <c r="H75" s="120" t="s">
        <v>142</v>
      </c>
      <c r="I75" s="103"/>
      <c r="J75" s="130"/>
      <c r="K75" s="127"/>
      <c r="L75" s="131"/>
      <c r="M75" s="229"/>
      <c r="N75" s="230"/>
      <c r="O75" s="120"/>
      <c r="P75" s="134" t="str">
        <f t="shared" si="3"/>
        <v>-</v>
      </c>
      <c r="Q75" s="134" t="str">
        <f t="shared" ref="Q75" si="5">IF(UPPER(J75="X"),$H75/50,"-")</f>
        <v>-</v>
      </c>
      <c r="R75" s="156" t="str">
        <f t="shared" si="1"/>
        <v>-</v>
      </c>
      <c r="S75" s="154" t="str">
        <f t="shared" ref="S75" si="6">IF(UPPER(L75="X"),$H75/50,"-")</f>
        <v>-</v>
      </c>
      <c r="T75" s="135" t="str">
        <f t="shared" si="4"/>
        <v>-</v>
      </c>
      <c r="U75" s="123" t="s">
        <v>142</v>
      </c>
      <c r="V75" s="121" t="s">
        <v>142</v>
      </c>
      <c r="W75" s="124" t="s">
        <v>142</v>
      </c>
      <c r="X75" s="224"/>
      <c r="Y75" s="225"/>
    </row>
    <row r="76" spans="1:25" s="90" customFormat="1" ht="15" customHeight="1" x14ac:dyDescent="0.2">
      <c r="A76" s="180"/>
      <c r="B76" s="180"/>
      <c r="C76" s="180"/>
      <c r="D76" s="180"/>
      <c r="E76" s="182"/>
      <c r="F76" s="119"/>
      <c r="G76" s="126" t="s">
        <v>142</v>
      </c>
      <c r="H76" s="120" t="s">
        <v>142</v>
      </c>
      <c r="I76" s="103"/>
      <c r="J76" s="130"/>
      <c r="K76" s="127"/>
      <c r="L76" s="131"/>
      <c r="M76" s="229"/>
      <c r="N76" s="230"/>
      <c r="O76" s="120"/>
      <c r="P76" s="134" t="str">
        <f t="shared" ref="P76" si="7">IF(UPPER(I76="X"),$H76/50,"-")</f>
        <v>-</v>
      </c>
      <c r="Q76" s="134" t="str">
        <f t="shared" ref="Q76:R76" si="8">IF(UPPER(J76="X"),$H76/50,"-")</f>
        <v>-</v>
      </c>
      <c r="R76" s="156" t="str">
        <f t="shared" si="8"/>
        <v>-</v>
      </c>
      <c r="S76" s="154" t="str">
        <f t="shared" ref="S76" si="9">IF(UPPER(L76="X"),$H76/50,"-")</f>
        <v>-</v>
      </c>
      <c r="T76" s="135" t="str">
        <f t="shared" ref="T76" si="10">IF(OR(UPPER(J76="X"),UPPER(L76)="X",UPPER(K76)="X",NOT(M76="")),H76/50,"-")</f>
        <v>-</v>
      </c>
      <c r="U76" s="157"/>
      <c r="V76" s="122"/>
      <c r="W76" s="157"/>
      <c r="X76" s="227"/>
      <c r="Y76" s="228"/>
    </row>
    <row r="77" spans="1:25" x14ac:dyDescent="0.2">
      <c r="F77" s="98"/>
      <c r="G77" s="231" t="s">
        <v>1</v>
      </c>
      <c r="H77" s="89">
        <f>SUBTOTAL(109,CE_Details[Length (Minutes)])</f>
        <v>840</v>
      </c>
      <c r="M77" s="89">
        <f>SUBTOTAL(109,CE_Details[Length (Minutes)])</f>
        <v>840</v>
      </c>
      <c r="N77" s="89">
        <f>SUBTOTAL(109,CE_Details[Length (Minutes)])</f>
        <v>840</v>
      </c>
      <c r="O77" s="89">
        <f>SUBTOTAL(109,CE_Details[Length (Minutes)])</f>
        <v>840</v>
      </c>
      <c r="P77" s="89">
        <f>SUBTOTAL(109,CE_Details[Organized Activity_])</f>
        <v>2.4</v>
      </c>
      <c r="Q77" s="89">
        <f>SUBTOTAL(109,CE_Details[Profession- alism_])</f>
        <v>0</v>
      </c>
      <c r="R77" s="89">
        <f>SUBTOTAL(109,CE_Details[General Business_])</f>
        <v>2.4</v>
      </c>
      <c r="S77" s="89">
        <f>SUBTOTAL(109,CE_Details[Discipline Relevant_])</f>
        <v>14.399999999999999</v>
      </c>
      <c r="T77" s="89">
        <f>SUBTOTAL(109,CE_Details[Total])</f>
        <v>16.8</v>
      </c>
      <c r="U77" s="232"/>
      <c r="V77" s="233"/>
      <c r="W77" s="234"/>
      <c r="Y77" s="125"/>
    </row>
    <row r="78" spans="1:25" x14ac:dyDescent="0.2">
      <c r="V78" s="88"/>
    </row>
    <row r="79" spans="1:25" x14ac:dyDescent="0.2">
      <c r="U79" s="88"/>
      <c r="V79" s="88"/>
    </row>
    <row r="80" spans="1:25" x14ac:dyDescent="0.2">
      <c r="U80" s="88"/>
      <c r="V80" s="88"/>
    </row>
    <row r="81" spans="21:22" x14ac:dyDescent="0.2">
      <c r="U81" s="88"/>
      <c r="V81" s="88"/>
    </row>
    <row r="82" spans="21:22" x14ac:dyDescent="0.2">
      <c r="U82" s="88"/>
      <c r="V82" s="88"/>
    </row>
    <row r="83" spans="21:22" x14ac:dyDescent="0.2">
      <c r="U83" s="88"/>
      <c r="V83" s="88"/>
    </row>
    <row r="84" spans="21:22" x14ac:dyDescent="0.2">
      <c r="U84" s="88"/>
      <c r="V84" s="88"/>
    </row>
    <row r="85" spans="21:22" x14ac:dyDescent="0.2">
      <c r="U85" s="88"/>
      <c r="V85" s="88"/>
    </row>
    <row r="86" spans="21:22" x14ac:dyDescent="0.2">
      <c r="U86" s="88"/>
      <c r="V86" s="88"/>
    </row>
    <row r="87" spans="21:22" x14ac:dyDescent="0.2">
      <c r="U87" s="88"/>
      <c r="V87" s="88"/>
    </row>
    <row r="88" spans="21:22" x14ac:dyDescent="0.2">
      <c r="U88" s="88"/>
      <c r="V88" s="88"/>
    </row>
    <row r="89" spans="21:22" x14ac:dyDescent="0.2">
      <c r="U89" s="88"/>
      <c r="V89" s="88"/>
    </row>
    <row r="90" spans="21:22" x14ac:dyDescent="0.2">
      <c r="U90" s="88"/>
      <c r="V90" s="88"/>
    </row>
    <row r="91" spans="21:22" x14ac:dyDescent="0.2">
      <c r="U91" s="88"/>
      <c r="V91" s="88"/>
    </row>
    <row r="92" spans="21:22" x14ac:dyDescent="0.2">
      <c r="U92" s="88"/>
      <c r="V92" s="88"/>
    </row>
    <row r="93" spans="21:22" x14ac:dyDescent="0.2">
      <c r="U93" s="88"/>
      <c r="V93" s="88"/>
    </row>
    <row r="94" spans="21:22" x14ac:dyDescent="0.2">
      <c r="U94" s="88"/>
      <c r="V94" s="88"/>
    </row>
    <row r="95" spans="21:22" x14ac:dyDescent="0.2">
      <c r="U95" s="88"/>
      <c r="V95" s="88"/>
    </row>
  </sheetData>
  <mergeCells count="22">
    <mergeCell ref="R3:R4"/>
    <mergeCell ref="T3:T4"/>
    <mergeCell ref="S3:S4"/>
    <mergeCell ref="J8:L8"/>
    <mergeCell ref="B14:D14"/>
    <mergeCell ref="B11:D11"/>
    <mergeCell ref="B15:D15"/>
    <mergeCell ref="P3:P4"/>
    <mergeCell ref="Q3:Q4"/>
    <mergeCell ref="I9:L9"/>
    <mergeCell ref="A8:D9"/>
    <mergeCell ref="M1:O3"/>
    <mergeCell ref="E1:E3"/>
    <mergeCell ref="A4:D6"/>
    <mergeCell ref="B12:D12"/>
    <mergeCell ref="B13:D13"/>
    <mergeCell ref="B21:D21"/>
    <mergeCell ref="B16:D16"/>
    <mergeCell ref="B17:D17"/>
    <mergeCell ref="B18:D18"/>
    <mergeCell ref="B19:D19"/>
    <mergeCell ref="B20:D20"/>
  </mergeCells>
  <phoneticPr fontId="1" type="noConversion"/>
  <printOptions horizontalCentered="1"/>
  <pageMargins left="0.25" right="0.25" top="0.5" bottom="0.5" header="0.5" footer="0"/>
  <pageSetup paperSize="5" scale="40" fitToHeight="0" orientation="landscape" r:id="rId1"/>
  <headerFooter alignWithMargins="0">
    <oddFooter xml:space="preserve">&amp;L&amp;F/&amp;A
Humana Actuarial Professional Development&amp;R&amp;D
</oddFooter>
  </headerFooter>
  <legacyDrawing r:id="rId2"/>
  <tableParts count="1">
    <tablePart r:id="rId3"/>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Reference!$O$2:$O$7</xm:f>
          </x14:formula1>
          <xm:sqref>M11:M76</xm:sqref>
        </x14:dataValidation>
        <x14:dataValidation type="list" allowBlank="1" showInputMessage="1" showErrorMessage="1">
          <x14:formula1>
            <xm:f>Reference!$Q$2:$Q$6</xm:f>
          </x14:formula1>
          <xm:sqref>N11:N76</xm:sqref>
        </x14:dataValidation>
        <x14:dataValidation type="list" allowBlank="1" showInputMessage="1" showErrorMessage="1">
          <x14:formula1>
            <xm:f>Reference!$M$2:$M$12</xm:f>
          </x14:formula1>
          <xm:sqref>V11:V75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F138"/>
  <sheetViews>
    <sheetView showGridLines="0" showRuler="0" topLeftCell="A37" zoomScale="160" zoomScaleNormal="160" zoomScaleSheetLayoutView="70" workbookViewId="0">
      <selection activeCell="A87" sqref="A87:X87"/>
    </sheetView>
  </sheetViews>
  <sheetFormatPr defaultColWidth="10.85546875" defaultRowHeight="12.75" x14ac:dyDescent="0.2"/>
  <cols>
    <col min="1" max="1" width="3.140625" style="4" customWidth="1"/>
    <col min="2" max="2" width="3.42578125" style="4" customWidth="1"/>
    <col min="3" max="3" width="3.140625" style="4" customWidth="1"/>
    <col min="4" max="4" width="3.42578125" style="4" customWidth="1"/>
    <col min="5" max="5" width="2" style="4" customWidth="1"/>
    <col min="6" max="24" width="4" style="4" customWidth="1"/>
    <col min="25" max="25" width="4.7109375" style="239" customWidth="1"/>
    <col min="26" max="26" width="5.28515625" style="4" customWidth="1"/>
    <col min="27" max="16384" width="10.85546875" style="4"/>
  </cols>
  <sheetData>
    <row r="1" spans="1:32" ht="20.25" x14ac:dyDescent="0.3">
      <c r="A1" s="299" t="s">
        <v>56</v>
      </c>
      <c r="B1" s="300"/>
      <c r="C1" s="300"/>
      <c r="D1" s="300"/>
      <c r="E1" s="300"/>
      <c r="F1" s="300"/>
      <c r="G1" s="300"/>
      <c r="H1" s="300"/>
      <c r="I1" s="300"/>
      <c r="J1" s="300"/>
      <c r="K1" s="300"/>
      <c r="L1" s="300"/>
      <c r="M1" s="300"/>
      <c r="N1" s="300"/>
      <c r="O1" s="300"/>
      <c r="P1" s="300"/>
      <c r="Q1" s="300"/>
      <c r="R1" s="300"/>
      <c r="S1" s="300"/>
      <c r="T1" s="300"/>
      <c r="U1" s="300"/>
      <c r="V1" s="300"/>
      <c r="W1" s="300"/>
      <c r="X1" s="300"/>
      <c r="Z1" s="52" t="s">
        <v>264</v>
      </c>
      <c r="AA1" s="39"/>
      <c r="AB1" s="39"/>
      <c r="AC1" s="39"/>
      <c r="AD1" s="39"/>
      <c r="AE1" s="39"/>
    </row>
    <row r="2" spans="1:32" x14ac:dyDescent="0.2">
      <c r="A2" s="5"/>
      <c r="B2" s="6"/>
      <c r="C2" s="6"/>
      <c r="D2" s="6"/>
      <c r="E2" s="6"/>
      <c r="F2" s="6"/>
      <c r="G2" s="6"/>
      <c r="H2" s="6"/>
      <c r="I2" s="6"/>
      <c r="J2" s="6"/>
      <c r="K2" s="6"/>
      <c r="L2" s="6"/>
      <c r="M2" s="6"/>
      <c r="N2" s="6"/>
      <c r="O2" s="6"/>
      <c r="P2" s="6"/>
      <c r="Q2" s="6"/>
      <c r="R2" s="6"/>
      <c r="S2" s="6"/>
      <c r="T2" s="6"/>
      <c r="U2" s="6"/>
      <c r="V2" s="6"/>
      <c r="W2" s="6"/>
      <c r="X2" s="6"/>
    </row>
    <row r="3" spans="1:32" ht="67.5" customHeight="1" x14ac:dyDescent="0.2">
      <c r="A3" s="302" t="s">
        <v>57</v>
      </c>
      <c r="B3" s="302"/>
      <c r="C3" s="302"/>
      <c r="D3" s="302"/>
      <c r="E3" s="302"/>
      <c r="F3" s="302"/>
      <c r="G3" s="302"/>
      <c r="H3" s="302"/>
      <c r="I3" s="302"/>
      <c r="J3" s="302"/>
      <c r="K3" s="302"/>
      <c r="L3" s="302"/>
      <c r="M3" s="302"/>
      <c r="N3" s="302"/>
      <c r="O3" s="302"/>
      <c r="P3" s="302"/>
      <c r="Q3" s="302"/>
      <c r="R3" s="302"/>
      <c r="S3" s="302"/>
      <c r="T3" s="302"/>
      <c r="U3" s="302"/>
      <c r="V3" s="302"/>
      <c r="W3" s="302"/>
      <c r="X3" s="302"/>
      <c r="Z3" s="10"/>
      <c r="AA3" s="10"/>
      <c r="AB3" s="10"/>
      <c r="AC3" s="10"/>
      <c r="AD3" s="10"/>
      <c r="AE3" s="10"/>
    </row>
    <row r="4" spans="1:32" s="1" customFormat="1" ht="22.5" customHeight="1" x14ac:dyDescent="0.25">
      <c r="A4" s="303" t="s">
        <v>6</v>
      </c>
      <c r="B4" s="304"/>
      <c r="C4" s="304"/>
      <c r="D4" s="304"/>
      <c r="E4" s="304"/>
      <c r="F4" s="304"/>
      <c r="G4" s="304"/>
      <c r="H4" s="304"/>
      <c r="I4" s="304"/>
      <c r="J4" s="304"/>
      <c r="K4" s="304"/>
      <c r="L4" s="304"/>
      <c r="M4" s="304"/>
      <c r="N4" s="304"/>
      <c r="O4" s="304"/>
      <c r="P4" s="304"/>
      <c r="Q4" s="304"/>
      <c r="R4" s="304"/>
      <c r="S4" s="304"/>
      <c r="T4" s="304"/>
      <c r="U4" s="304"/>
      <c r="V4" s="304"/>
      <c r="W4" s="304"/>
      <c r="X4" s="304"/>
      <c r="Y4" s="240"/>
    </row>
    <row r="5" spans="1:32" x14ac:dyDescent="0.2">
      <c r="A5" s="297"/>
      <c r="B5" s="297"/>
      <c r="C5" s="297"/>
      <c r="D5" s="297"/>
      <c r="E5" s="297"/>
      <c r="F5" s="297"/>
      <c r="G5" s="297"/>
      <c r="H5" s="297"/>
      <c r="I5" s="297"/>
      <c r="J5" s="297"/>
      <c r="K5" s="297"/>
      <c r="L5" s="297"/>
      <c r="M5" s="297"/>
      <c r="N5" s="297"/>
      <c r="O5" s="297"/>
      <c r="P5" s="297"/>
      <c r="Q5" s="297"/>
      <c r="R5" s="297"/>
      <c r="S5" s="297"/>
      <c r="T5" s="297"/>
      <c r="U5" s="297"/>
      <c r="V5" s="297"/>
      <c r="W5" s="297"/>
      <c r="X5" s="297"/>
    </row>
    <row r="6" spans="1:32" x14ac:dyDescent="0.2">
      <c r="A6" s="301" t="s">
        <v>7</v>
      </c>
      <c r="B6" s="301"/>
      <c r="C6" s="301"/>
      <c r="D6" s="301"/>
      <c r="E6" s="301"/>
      <c r="F6" s="301"/>
      <c r="G6" s="301"/>
      <c r="H6" s="301"/>
      <c r="I6" s="301"/>
      <c r="J6" s="301"/>
      <c r="K6" s="301"/>
      <c r="L6" s="301"/>
      <c r="M6" s="301"/>
      <c r="N6" s="301"/>
      <c r="O6" s="301"/>
      <c r="P6" s="301"/>
      <c r="Q6" s="297"/>
      <c r="R6" s="297"/>
      <c r="S6" s="297"/>
      <c r="T6" s="297"/>
      <c r="U6" s="297"/>
      <c r="V6" s="297"/>
      <c r="W6" s="297"/>
      <c r="X6" s="297"/>
    </row>
    <row r="7" spans="1:32" x14ac:dyDescent="0.2">
      <c r="A7" s="297"/>
      <c r="B7" s="297"/>
      <c r="C7" s="297"/>
      <c r="D7" s="297"/>
      <c r="E7" s="297"/>
      <c r="F7" s="297"/>
      <c r="G7" s="297"/>
      <c r="H7" s="297"/>
      <c r="I7" s="297"/>
      <c r="J7" s="297"/>
      <c r="K7" s="297"/>
      <c r="L7" s="297"/>
      <c r="M7" s="297"/>
      <c r="N7" s="297"/>
      <c r="O7" s="297"/>
      <c r="P7" s="297"/>
      <c r="Q7" s="297"/>
      <c r="R7" s="297"/>
      <c r="S7" s="297"/>
      <c r="T7" s="297"/>
      <c r="U7" s="297"/>
      <c r="V7" s="297"/>
      <c r="W7" s="297"/>
      <c r="X7" s="297"/>
    </row>
    <row r="8" spans="1:32" ht="39" customHeight="1" x14ac:dyDescent="0.2">
      <c r="A8" s="296" t="s">
        <v>242</v>
      </c>
      <c r="B8" s="296"/>
      <c r="C8" s="296"/>
      <c r="D8" s="296"/>
      <c r="E8" s="296"/>
      <c r="F8" s="296"/>
      <c r="G8" s="296"/>
      <c r="H8" s="296"/>
      <c r="I8" s="296"/>
      <c r="J8" s="296"/>
      <c r="K8" s="296"/>
      <c r="L8" s="296"/>
      <c r="M8" s="296"/>
      <c r="N8" s="296"/>
      <c r="O8" s="296"/>
      <c r="P8" s="296"/>
      <c r="Q8" s="296"/>
      <c r="R8" s="296"/>
      <c r="S8" s="296"/>
      <c r="T8" s="296"/>
      <c r="U8" s="296"/>
      <c r="V8" s="296"/>
      <c r="W8" s="296"/>
      <c r="X8" s="296"/>
    </row>
    <row r="9" spans="1:32" x14ac:dyDescent="0.2">
      <c r="A9" s="296"/>
      <c r="B9" s="296"/>
      <c r="C9" s="296"/>
      <c r="D9" s="296"/>
      <c r="E9" s="296"/>
      <c r="F9" s="296"/>
      <c r="G9" s="296"/>
      <c r="H9" s="296"/>
      <c r="I9" s="296"/>
      <c r="J9" s="296"/>
      <c r="K9" s="296"/>
      <c r="L9" s="296"/>
      <c r="M9" s="296"/>
      <c r="N9" s="296"/>
      <c r="O9" s="296"/>
      <c r="P9" s="296"/>
      <c r="Q9" s="296"/>
      <c r="R9" s="296"/>
      <c r="S9" s="296"/>
      <c r="T9" s="296"/>
      <c r="U9" s="296"/>
      <c r="V9" s="296"/>
      <c r="W9" s="296"/>
      <c r="X9" s="296"/>
      <c r="Z9" s="246"/>
      <c r="AA9" s="37"/>
      <c r="AB9" s="37"/>
      <c r="AC9" s="37"/>
      <c r="AD9" s="37"/>
      <c r="AE9" s="37"/>
      <c r="AF9" s="37"/>
    </row>
    <row r="10" spans="1:32" ht="12.75" customHeight="1" x14ac:dyDescent="0.2">
      <c r="A10" s="298" t="s">
        <v>8</v>
      </c>
      <c r="B10" s="298"/>
      <c r="C10" s="298" t="s">
        <v>9</v>
      </c>
      <c r="D10" s="298"/>
      <c r="E10" s="5"/>
      <c r="F10" s="279" t="s">
        <v>247</v>
      </c>
      <c r="G10" s="279"/>
      <c r="H10" s="279"/>
      <c r="I10" s="279"/>
      <c r="J10" s="279"/>
      <c r="K10" s="279"/>
      <c r="L10" s="279"/>
      <c r="M10" s="279"/>
      <c r="N10" s="279"/>
      <c r="O10" s="279"/>
      <c r="P10" s="279"/>
      <c r="Q10" s="279"/>
      <c r="R10" s="279"/>
      <c r="S10" s="279"/>
      <c r="T10" s="279"/>
      <c r="U10" s="279"/>
      <c r="V10" s="279"/>
      <c r="W10" s="279"/>
      <c r="X10" s="279"/>
      <c r="Z10" s="36"/>
      <c r="AA10" s="37"/>
      <c r="AB10" s="37"/>
      <c r="AC10" s="37"/>
      <c r="AD10" s="37"/>
      <c r="AE10" s="37"/>
      <c r="AF10" s="37"/>
    </row>
    <row r="11" spans="1:32" x14ac:dyDescent="0.2">
      <c r="A11" s="238"/>
      <c r="B11" s="238"/>
      <c r="C11" s="238"/>
      <c r="D11" s="238"/>
      <c r="E11" s="153"/>
      <c r="F11" s="279"/>
      <c r="G11" s="279"/>
      <c r="H11" s="279"/>
      <c r="I11" s="279"/>
      <c r="J11" s="279"/>
      <c r="K11" s="279"/>
      <c r="L11" s="279"/>
      <c r="M11" s="279"/>
      <c r="N11" s="279"/>
      <c r="O11" s="279"/>
      <c r="P11" s="279"/>
      <c r="Q11" s="279"/>
      <c r="R11" s="279"/>
      <c r="S11" s="279"/>
      <c r="T11" s="279"/>
      <c r="U11" s="279"/>
      <c r="V11" s="279"/>
      <c r="W11" s="279"/>
      <c r="X11" s="279"/>
      <c r="Z11" s="36"/>
      <c r="AA11" s="37"/>
      <c r="AB11" s="37"/>
      <c r="AC11" s="37"/>
      <c r="AD11" s="37"/>
      <c r="AE11" s="37"/>
      <c r="AF11" s="37"/>
    </row>
    <row r="12" spans="1:32" x14ac:dyDescent="0.2">
      <c r="A12" s="238"/>
      <c r="B12" s="238"/>
      <c r="C12" s="238"/>
      <c r="D12" s="238"/>
      <c r="E12" s="153"/>
      <c r="F12" s="279"/>
      <c r="G12" s="279"/>
      <c r="H12" s="279"/>
      <c r="I12" s="279"/>
      <c r="J12" s="279"/>
      <c r="K12" s="279"/>
      <c r="L12" s="279"/>
      <c r="M12" s="279"/>
      <c r="N12" s="279"/>
      <c r="O12" s="279"/>
      <c r="P12" s="279"/>
      <c r="Q12" s="279"/>
      <c r="R12" s="279"/>
      <c r="S12" s="279"/>
      <c r="T12" s="279"/>
      <c r="U12" s="279"/>
      <c r="V12" s="279"/>
      <c r="W12" s="279"/>
      <c r="X12" s="279"/>
      <c r="Z12" s="36"/>
      <c r="AA12" s="37"/>
      <c r="AB12" s="37"/>
      <c r="AC12" s="37"/>
      <c r="AD12" s="37"/>
      <c r="AE12" s="37"/>
      <c r="AF12" s="37"/>
    </row>
    <row r="13" spans="1:32" ht="12.75" customHeight="1" x14ac:dyDescent="0.2">
      <c r="A13" s="298" t="s">
        <v>8</v>
      </c>
      <c r="B13" s="298"/>
      <c r="C13" s="298" t="s">
        <v>9</v>
      </c>
      <c r="D13" s="298"/>
      <c r="E13" s="5"/>
      <c r="F13" s="279" t="s">
        <v>245</v>
      </c>
      <c r="G13" s="279"/>
      <c r="H13" s="279"/>
      <c r="I13" s="279"/>
      <c r="J13" s="279"/>
      <c r="K13" s="279"/>
      <c r="L13" s="279"/>
      <c r="M13" s="279"/>
      <c r="N13" s="279"/>
      <c r="O13" s="279"/>
      <c r="P13" s="279"/>
      <c r="Q13" s="279"/>
      <c r="R13" s="279"/>
      <c r="S13" s="279"/>
      <c r="T13" s="279"/>
      <c r="U13" s="279"/>
      <c r="V13" s="279"/>
      <c r="W13" s="279"/>
      <c r="X13" s="279"/>
      <c r="AA13"/>
    </row>
    <row r="14" spans="1:32" x14ac:dyDescent="0.2">
      <c r="A14" s="238"/>
      <c r="B14" s="238"/>
      <c r="C14" s="238"/>
      <c r="D14" s="238"/>
      <c r="E14" s="153"/>
      <c r="F14" s="279"/>
      <c r="G14" s="279"/>
      <c r="H14" s="279"/>
      <c r="I14" s="279"/>
      <c r="J14" s="279"/>
      <c r="K14" s="279"/>
      <c r="L14" s="279"/>
      <c r="M14" s="279"/>
      <c r="N14" s="279"/>
      <c r="O14" s="279"/>
      <c r="P14" s="279"/>
      <c r="Q14" s="279"/>
      <c r="R14" s="279"/>
      <c r="S14" s="279"/>
      <c r="T14" s="279"/>
      <c r="U14" s="279"/>
      <c r="V14" s="279"/>
      <c r="W14" s="279"/>
      <c r="X14" s="279"/>
      <c r="AA14" s="2"/>
    </row>
    <row r="15" spans="1:32" ht="12.75" customHeight="1" x14ac:dyDescent="0.2">
      <c r="A15" s="298" t="s">
        <v>8</v>
      </c>
      <c r="B15" s="298"/>
      <c r="C15" s="298" t="s">
        <v>9</v>
      </c>
      <c r="D15" s="298"/>
      <c r="E15" s="153"/>
      <c r="F15" s="279" t="s">
        <v>246</v>
      </c>
      <c r="G15" s="279"/>
      <c r="H15" s="279"/>
      <c r="I15" s="279"/>
      <c r="J15" s="279"/>
      <c r="K15" s="279"/>
      <c r="L15" s="279"/>
      <c r="M15" s="279"/>
      <c r="N15" s="279"/>
      <c r="O15" s="279"/>
      <c r="P15" s="279"/>
      <c r="Q15" s="279"/>
      <c r="R15" s="279"/>
      <c r="S15" s="279"/>
      <c r="T15" s="279"/>
      <c r="U15" s="279"/>
      <c r="V15" s="279"/>
      <c r="W15" s="279"/>
      <c r="X15" s="279"/>
    </row>
    <row r="16" spans="1:32" x14ac:dyDescent="0.2">
      <c r="A16" s="238"/>
      <c r="B16" s="238"/>
      <c r="C16" s="238"/>
      <c r="D16" s="238"/>
      <c r="E16" s="153"/>
      <c r="F16" s="279"/>
      <c r="G16" s="279"/>
      <c r="H16" s="279"/>
      <c r="I16" s="279"/>
      <c r="J16" s="279"/>
      <c r="K16" s="279"/>
      <c r="L16" s="279"/>
      <c r="M16" s="279"/>
      <c r="N16" s="279"/>
      <c r="O16" s="279"/>
      <c r="P16" s="279"/>
      <c r="Q16" s="279"/>
      <c r="R16" s="279"/>
      <c r="S16" s="279"/>
      <c r="T16" s="279"/>
      <c r="U16" s="279"/>
      <c r="V16" s="279"/>
      <c r="W16" s="279"/>
      <c r="X16" s="279"/>
      <c r="Z16" s="247" t="s">
        <v>10</v>
      </c>
      <c r="AA16" s="235"/>
    </row>
    <row r="17" spans="1:27" ht="11.25" customHeight="1" x14ac:dyDescent="0.2">
      <c r="A17" s="8"/>
      <c r="B17" s="8"/>
      <c r="C17" s="8"/>
      <c r="D17" s="8"/>
      <c r="E17" s="8"/>
      <c r="F17" s="9"/>
      <c r="G17" s="9"/>
      <c r="H17" s="9"/>
      <c r="I17" s="9"/>
      <c r="J17" s="9"/>
      <c r="K17" s="9"/>
      <c r="L17" s="9"/>
      <c r="M17" s="9"/>
      <c r="N17" s="9"/>
      <c r="O17" s="9"/>
      <c r="P17" s="9"/>
      <c r="Q17" s="9"/>
      <c r="R17" s="9"/>
      <c r="S17" s="9"/>
      <c r="T17" s="9"/>
      <c r="U17" s="9"/>
      <c r="V17" s="9"/>
      <c r="W17" s="9"/>
      <c r="X17" s="9"/>
      <c r="Z17" s="235"/>
      <c r="AA17" s="235" t="s">
        <v>11</v>
      </c>
    </row>
    <row r="18" spans="1:27" x14ac:dyDescent="0.2">
      <c r="A18" s="301" t="s">
        <v>12</v>
      </c>
      <c r="B18" s="301"/>
      <c r="C18" s="301"/>
      <c r="D18" s="301"/>
      <c r="E18" s="301"/>
      <c r="F18" s="301"/>
      <c r="G18" s="301"/>
      <c r="H18" s="301"/>
      <c r="I18" s="301"/>
      <c r="J18" s="301"/>
      <c r="K18" s="301"/>
      <c r="L18" s="301"/>
      <c r="M18" s="301"/>
      <c r="N18" s="301"/>
      <c r="O18" s="301"/>
      <c r="P18" s="301"/>
      <c r="Q18" s="297"/>
      <c r="R18" s="297"/>
      <c r="S18" s="297"/>
      <c r="T18" s="297"/>
      <c r="U18" s="297"/>
      <c r="V18" s="297"/>
      <c r="W18" s="297"/>
      <c r="X18" s="297"/>
      <c r="Z18" s="235"/>
      <c r="AA18" s="235" t="s">
        <v>13</v>
      </c>
    </row>
    <row r="19" spans="1:27" x14ac:dyDescent="0.2">
      <c r="A19" s="297"/>
      <c r="B19" s="297"/>
      <c r="C19" s="297"/>
      <c r="D19" s="297"/>
      <c r="E19" s="297"/>
      <c r="F19" s="297"/>
      <c r="G19" s="297"/>
      <c r="H19" s="297"/>
      <c r="I19" s="297"/>
      <c r="J19" s="297"/>
      <c r="K19" s="297"/>
      <c r="L19" s="297"/>
      <c r="M19" s="297"/>
      <c r="N19" s="297"/>
      <c r="O19" s="297"/>
      <c r="P19" s="297"/>
      <c r="Q19" s="297"/>
      <c r="R19" s="297"/>
      <c r="S19" s="297"/>
      <c r="T19" s="297"/>
      <c r="U19" s="297"/>
      <c r="V19" s="297"/>
      <c r="W19" s="297"/>
      <c r="X19" s="297"/>
      <c r="Z19" s="235"/>
      <c r="AA19" s="235" t="s">
        <v>14</v>
      </c>
    </row>
    <row r="20" spans="1:27" x14ac:dyDescent="0.2">
      <c r="A20" s="279" t="s">
        <v>241</v>
      </c>
      <c r="B20" s="279"/>
      <c r="C20" s="279"/>
      <c r="D20" s="279"/>
      <c r="E20" s="279"/>
      <c r="F20" s="279"/>
      <c r="G20" s="279"/>
      <c r="H20" s="279"/>
      <c r="I20" s="279"/>
      <c r="J20" s="279"/>
      <c r="K20" s="279"/>
      <c r="L20" s="279"/>
      <c r="M20" s="279"/>
      <c r="N20" s="279"/>
      <c r="O20" s="279"/>
      <c r="P20" s="279"/>
      <c r="Q20" s="279"/>
      <c r="R20" s="279"/>
      <c r="S20" s="279"/>
      <c r="T20" s="279"/>
      <c r="U20" s="279"/>
      <c r="V20" s="279"/>
      <c r="W20" s="279"/>
      <c r="X20" s="279"/>
      <c r="Z20" s="235"/>
      <c r="AA20" s="235" t="s">
        <v>15</v>
      </c>
    </row>
    <row r="21" spans="1:27" x14ac:dyDescent="0.2">
      <c r="A21" s="279"/>
      <c r="B21" s="279"/>
      <c r="C21" s="279"/>
      <c r="D21" s="279"/>
      <c r="E21" s="279"/>
      <c r="F21" s="279"/>
      <c r="G21" s="279"/>
      <c r="H21" s="279"/>
      <c r="I21" s="279"/>
      <c r="J21" s="279"/>
      <c r="K21" s="279"/>
      <c r="L21" s="279"/>
      <c r="M21" s="279"/>
      <c r="N21" s="279"/>
      <c r="O21" s="279"/>
      <c r="P21" s="279"/>
      <c r="Q21" s="279"/>
      <c r="R21" s="279"/>
      <c r="S21" s="279"/>
      <c r="T21" s="279"/>
      <c r="U21" s="279"/>
      <c r="V21" s="279"/>
      <c r="W21" s="279"/>
      <c r="X21" s="279"/>
      <c r="Z21" s="235"/>
      <c r="AA21" s="235" t="s">
        <v>16</v>
      </c>
    </row>
    <row r="22" spans="1:27" x14ac:dyDescent="0.2">
      <c r="A22" s="279"/>
      <c r="B22" s="279"/>
      <c r="C22" s="279"/>
      <c r="D22" s="279"/>
      <c r="E22" s="279"/>
      <c r="F22" s="279"/>
      <c r="G22" s="279"/>
      <c r="H22" s="279"/>
      <c r="I22" s="279"/>
      <c r="J22" s="279"/>
      <c r="K22" s="279"/>
      <c r="L22" s="279"/>
      <c r="M22" s="279"/>
      <c r="N22" s="279"/>
      <c r="O22" s="279"/>
      <c r="P22" s="279"/>
      <c r="Q22" s="279"/>
      <c r="R22" s="279"/>
      <c r="S22" s="279"/>
      <c r="T22" s="279"/>
      <c r="U22" s="279"/>
      <c r="V22" s="279"/>
      <c r="W22" s="279"/>
      <c r="X22" s="279"/>
      <c r="Z22" s="235"/>
      <c r="AA22" s="235" t="s">
        <v>17</v>
      </c>
    </row>
    <row r="23" spans="1:27" x14ac:dyDescent="0.2">
      <c r="A23" s="297"/>
      <c r="B23" s="297"/>
      <c r="C23" s="297"/>
      <c r="D23" s="297"/>
      <c r="E23" s="297"/>
      <c r="F23" s="297"/>
      <c r="G23" s="297"/>
      <c r="H23" s="297"/>
      <c r="I23" s="297"/>
      <c r="J23" s="297"/>
      <c r="K23" s="297"/>
      <c r="L23" s="297"/>
      <c r="M23" s="297"/>
      <c r="N23" s="297"/>
      <c r="O23" s="297"/>
      <c r="P23" s="297"/>
      <c r="Q23" s="297"/>
      <c r="R23" s="297"/>
      <c r="S23" s="297"/>
      <c r="T23" s="297"/>
      <c r="U23" s="297"/>
      <c r="V23" s="297"/>
      <c r="W23" s="297"/>
      <c r="X23" s="297"/>
    </row>
    <row r="24" spans="1:27" ht="15" customHeight="1" x14ac:dyDescent="0.2">
      <c r="A24" s="5"/>
      <c r="B24" s="5"/>
      <c r="C24" s="11"/>
      <c r="D24" s="12"/>
      <c r="E24" s="297"/>
      <c r="F24" s="279" t="s">
        <v>248</v>
      </c>
      <c r="G24" s="279"/>
      <c r="H24" s="279"/>
      <c r="I24" s="279"/>
      <c r="J24" s="279"/>
      <c r="K24" s="279"/>
      <c r="L24" s="279"/>
      <c r="M24" s="279"/>
      <c r="N24" s="279"/>
      <c r="O24" s="279"/>
      <c r="P24" s="279"/>
      <c r="Q24" s="279"/>
      <c r="R24" s="279"/>
      <c r="S24" s="279"/>
      <c r="T24" s="279"/>
      <c r="U24" s="279"/>
      <c r="V24" s="279"/>
      <c r="W24" s="279"/>
      <c r="X24" s="279"/>
      <c r="Z24" s="235" t="s">
        <v>18</v>
      </c>
    </row>
    <row r="25" spans="1:27" x14ac:dyDescent="0.2">
      <c r="A25" s="5"/>
      <c r="B25" s="5"/>
      <c r="C25" s="11"/>
      <c r="D25" s="12"/>
      <c r="E25" s="297"/>
      <c r="F25" s="279" t="s">
        <v>249</v>
      </c>
      <c r="G25" s="279"/>
      <c r="H25" s="279"/>
      <c r="I25" s="279"/>
      <c r="J25" s="279"/>
      <c r="K25" s="279"/>
      <c r="L25" s="279"/>
      <c r="M25" s="279"/>
      <c r="N25" s="279"/>
      <c r="O25" s="279"/>
      <c r="P25" s="279"/>
      <c r="Q25" s="279"/>
      <c r="R25" s="279"/>
      <c r="S25" s="279"/>
      <c r="T25" s="279"/>
      <c r="U25" s="279"/>
      <c r="V25" s="279"/>
      <c r="W25" s="279"/>
      <c r="X25" s="279"/>
      <c r="Z25" s="235" t="s">
        <v>19</v>
      </c>
    </row>
    <row r="26" spans="1:27" x14ac:dyDescent="0.2">
      <c r="A26" s="153"/>
      <c r="B26" s="153"/>
      <c r="C26" s="11"/>
      <c r="D26" s="12"/>
      <c r="E26" s="297"/>
      <c r="F26" s="279"/>
      <c r="G26" s="279"/>
      <c r="H26" s="279"/>
      <c r="I26" s="279"/>
      <c r="J26" s="279"/>
      <c r="K26" s="279"/>
      <c r="L26" s="279"/>
      <c r="M26" s="279"/>
      <c r="N26" s="279"/>
      <c r="O26" s="279"/>
      <c r="P26" s="279"/>
      <c r="Q26" s="279"/>
      <c r="R26" s="279"/>
      <c r="S26" s="279"/>
      <c r="T26" s="279"/>
      <c r="U26" s="279"/>
      <c r="V26" s="279"/>
      <c r="W26" s="279"/>
      <c r="X26" s="279"/>
      <c r="Z26" s="235"/>
    </row>
    <row r="27" spans="1:27" x14ac:dyDescent="0.2">
      <c r="A27" s="153"/>
      <c r="B27" s="153"/>
      <c r="C27" s="11"/>
      <c r="D27" s="12"/>
      <c r="E27" s="297"/>
      <c r="F27" s="279"/>
      <c r="G27" s="279"/>
      <c r="H27" s="279"/>
      <c r="I27" s="279"/>
      <c r="J27" s="279"/>
      <c r="K27" s="279"/>
      <c r="L27" s="279"/>
      <c r="M27" s="279"/>
      <c r="N27" s="279"/>
      <c r="O27" s="279"/>
      <c r="P27" s="279"/>
      <c r="Q27" s="279"/>
      <c r="R27" s="279"/>
      <c r="S27" s="279"/>
      <c r="T27" s="279"/>
      <c r="U27" s="279"/>
      <c r="V27" s="279"/>
      <c r="W27" s="279"/>
      <c r="X27" s="279"/>
      <c r="Z27" s="235"/>
    </row>
    <row r="28" spans="1:27" x14ac:dyDescent="0.2">
      <c r="A28" s="5"/>
      <c r="B28" s="5"/>
      <c r="C28" s="11"/>
      <c r="D28" s="12"/>
      <c r="E28" s="297"/>
      <c r="F28" s="279" t="s">
        <v>250</v>
      </c>
      <c r="G28" s="279"/>
      <c r="H28" s="279"/>
      <c r="I28" s="279"/>
      <c r="J28" s="279"/>
      <c r="K28" s="279"/>
      <c r="L28" s="279"/>
      <c r="M28" s="279"/>
      <c r="N28" s="279"/>
      <c r="O28" s="279"/>
      <c r="P28" s="279"/>
      <c r="Q28" s="279"/>
      <c r="R28" s="279"/>
      <c r="S28" s="279"/>
      <c r="T28" s="279"/>
      <c r="U28" s="279"/>
      <c r="V28" s="279"/>
      <c r="W28" s="279"/>
      <c r="X28" s="279"/>
      <c r="Z28" s="235" t="s">
        <v>20</v>
      </c>
    </row>
    <row r="29" spans="1:27" x14ac:dyDescent="0.2">
      <c r="A29" s="153"/>
      <c r="B29" s="153"/>
      <c r="C29" s="11"/>
      <c r="D29" s="12"/>
      <c r="E29" s="153"/>
      <c r="F29" s="279"/>
      <c r="G29" s="279"/>
      <c r="H29" s="279"/>
      <c r="I29" s="279"/>
      <c r="J29" s="279"/>
      <c r="K29" s="279"/>
      <c r="L29" s="279"/>
      <c r="M29" s="279"/>
      <c r="N29" s="279"/>
      <c r="O29" s="279"/>
      <c r="P29" s="279"/>
      <c r="Q29" s="279"/>
      <c r="R29" s="279"/>
      <c r="S29" s="279"/>
      <c r="T29" s="279"/>
      <c r="U29" s="279"/>
      <c r="V29" s="279"/>
      <c r="W29" s="279"/>
      <c r="X29" s="279"/>
      <c r="Z29" s="235"/>
    </row>
    <row r="30" spans="1:27" ht="15" x14ac:dyDescent="0.2">
      <c r="A30" s="13"/>
      <c r="B30" s="6"/>
      <c r="C30" s="5"/>
      <c r="D30" s="5"/>
      <c r="E30" s="5"/>
      <c r="F30" s="5"/>
      <c r="G30" s="5"/>
      <c r="H30" s="5"/>
      <c r="I30" s="5"/>
      <c r="J30" s="5"/>
      <c r="K30" s="5"/>
      <c r="L30" s="5"/>
      <c r="M30" s="5"/>
      <c r="N30" s="5"/>
      <c r="O30" s="5"/>
      <c r="P30" s="5"/>
      <c r="Q30" s="5"/>
      <c r="R30" s="5"/>
      <c r="S30" s="14"/>
      <c r="T30" s="15"/>
      <c r="U30" s="15"/>
      <c r="V30" s="15"/>
      <c r="W30" s="15"/>
      <c r="X30" s="15"/>
      <c r="Y30" s="241"/>
    </row>
    <row r="31" spans="1:27" s="17" customFormat="1" x14ac:dyDescent="0.2">
      <c r="A31" s="282" t="s">
        <v>21</v>
      </c>
      <c r="B31" s="282"/>
      <c r="C31" s="282"/>
      <c r="D31" s="282"/>
      <c r="E31" s="282"/>
      <c r="F31" s="282"/>
      <c r="G31" s="282"/>
      <c r="H31" s="282"/>
      <c r="I31" s="282"/>
      <c r="J31" s="282"/>
      <c r="K31" s="282"/>
      <c r="L31" s="282"/>
      <c r="M31" s="282"/>
      <c r="N31" s="282"/>
      <c r="O31" s="282"/>
      <c r="P31" s="282"/>
      <c r="Q31" s="283"/>
      <c r="R31" s="283"/>
      <c r="S31" s="283"/>
      <c r="T31" s="283"/>
      <c r="U31" s="283"/>
      <c r="V31" s="283"/>
      <c r="W31" s="283"/>
      <c r="X31" s="283"/>
      <c r="Y31" s="242"/>
      <c r="Z31" s="16"/>
    </row>
    <row r="32" spans="1:27" s="17" customFormat="1" x14ac:dyDescent="0.2">
      <c r="A32" s="283"/>
      <c r="B32" s="283"/>
      <c r="C32" s="283"/>
      <c r="D32" s="283"/>
      <c r="E32" s="283"/>
      <c r="F32" s="283"/>
      <c r="G32" s="283"/>
      <c r="H32" s="283"/>
      <c r="I32" s="283"/>
      <c r="J32" s="283"/>
      <c r="K32" s="283"/>
      <c r="L32" s="283"/>
      <c r="M32" s="283"/>
      <c r="N32" s="283"/>
      <c r="O32" s="283"/>
      <c r="P32" s="283"/>
      <c r="Q32" s="283"/>
      <c r="R32" s="283"/>
      <c r="S32" s="283"/>
      <c r="T32" s="283"/>
      <c r="U32" s="283"/>
      <c r="V32" s="283"/>
      <c r="W32" s="283"/>
      <c r="X32" s="283"/>
      <c r="Y32" s="242"/>
      <c r="Z32" s="16"/>
    </row>
    <row r="33" spans="1:25" s="17" customFormat="1" ht="28.5" customHeight="1" x14ac:dyDescent="0.2">
      <c r="A33" s="279" t="s">
        <v>243</v>
      </c>
      <c r="B33" s="279"/>
      <c r="C33" s="279"/>
      <c r="D33" s="279"/>
      <c r="E33" s="279"/>
      <c r="F33" s="279"/>
      <c r="G33" s="279"/>
      <c r="H33" s="279"/>
      <c r="I33" s="279"/>
      <c r="J33" s="279"/>
      <c r="K33" s="279"/>
      <c r="L33" s="279"/>
      <c r="M33" s="279"/>
      <c r="N33" s="279"/>
      <c r="O33" s="279"/>
      <c r="P33" s="279"/>
      <c r="Q33" s="279"/>
      <c r="R33" s="279"/>
      <c r="S33" s="279"/>
      <c r="T33" s="279"/>
      <c r="U33" s="279"/>
      <c r="V33" s="279"/>
      <c r="W33" s="279"/>
      <c r="X33" s="279"/>
      <c r="Y33" s="242"/>
    </row>
    <row r="34" spans="1:25" s="17" customFormat="1" x14ac:dyDescent="0.2">
      <c r="A34" s="283"/>
      <c r="B34" s="283"/>
      <c r="C34" s="283"/>
      <c r="D34" s="283"/>
      <c r="E34" s="283"/>
      <c r="F34" s="283"/>
      <c r="G34" s="283"/>
      <c r="H34" s="283"/>
      <c r="I34" s="283"/>
      <c r="J34" s="283"/>
      <c r="K34" s="283"/>
      <c r="L34" s="283"/>
      <c r="M34" s="283"/>
      <c r="N34" s="283"/>
      <c r="O34" s="283"/>
      <c r="P34" s="283"/>
      <c r="Q34" s="283"/>
      <c r="R34" s="283"/>
      <c r="S34" s="283"/>
      <c r="T34" s="283"/>
      <c r="U34" s="283"/>
      <c r="V34" s="283"/>
      <c r="W34" s="283"/>
      <c r="X34" s="283"/>
      <c r="Y34" s="242"/>
    </row>
    <row r="35" spans="1:25" s="17" customFormat="1" ht="15" customHeight="1" x14ac:dyDescent="0.2">
      <c r="A35" s="284" t="s">
        <v>8</v>
      </c>
      <c r="B35" s="284"/>
      <c r="C35" s="284" t="s">
        <v>9</v>
      </c>
      <c r="D35" s="284"/>
      <c r="E35" s="283"/>
      <c r="F35" s="279" t="str">
        <f>"• I completed 30 credit hours of relevant continuing education during "&amp;TemplateYear&amp;"."</f>
        <v>• I completed 30 credit hours of relevant continuing education during 2021.</v>
      </c>
      <c r="G35" s="279"/>
      <c r="H35" s="279"/>
      <c r="I35" s="279"/>
      <c r="J35" s="279"/>
      <c r="K35" s="279"/>
      <c r="L35" s="279"/>
      <c r="M35" s="279"/>
      <c r="N35" s="279"/>
      <c r="O35" s="279"/>
      <c r="P35" s="279"/>
      <c r="Q35" s="279"/>
      <c r="R35" s="279"/>
      <c r="S35" s="279"/>
      <c r="T35" s="279"/>
      <c r="U35" s="279"/>
      <c r="V35" s="279"/>
      <c r="W35" s="279"/>
      <c r="X35" s="279"/>
      <c r="Y35" s="242"/>
    </row>
    <row r="36" spans="1:25" s="17" customFormat="1" ht="15" customHeight="1" x14ac:dyDescent="0.2">
      <c r="A36" s="284" t="s">
        <v>8</v>
      </c>
      <c r="B36" s="284"/>
      <c r="C36" s="284" t="s">
        <v>9</v>
      </c>
      <c r="D36" s="284"/>
      <c r="E36" s="283"/>
      <c r="F36" s="279" t="s">
        <v>251</v>
      </c>
      <c r="G36" s="279"/>
      <c r="H36" s="279"/>
      <c r="I36" s="279"/>
      <c r="J36" s="279"/>
      <c r="K36" s="279"/>
      <c r="L36" s="279"/>
      <c r="M36" s="279"/>
      <c r="N36" s="279"/>
      <c r="O36" s="279"/>
      <c r="P36" s="279"/>
      <c r="Q36" s="279"/>
      <c r="R36" s="279"/>
      <c r="S36" s="279"/>
      <c r="T36" s="279"/>
      <c r="U36" s="279"/>
      <c r="V36" s="279"/>
      <c r="W36" s="279"/>
      <c r="X36" s="279"/>
      <c r="Y36" s="242"/>
    </row>
    <row r="37" spans="1:25" s="17" customFormat="1" ht="15" customHeight="1" x14ac:dyDescent="0.2">
      <c r="A37" s="284" t="s">
        <v>8</v>
      </c>
      <c r="B37" s="284"/>
      <c r="C37" s="284" t="s">
        <v>9</v>
      </c>
      <c r="D37" s="284"/>
      <c r="E37" s="283"/>
      <c r="F37" s="279" t="s">
        <v>252</v>
      </c>
      <c r="G37" s="279"/>
      <c r="H37" s="279"/>
      <c r="I37" s="279"/>
      <c r="J37" s="279"/>
      <c r="K37" s="279"/>
      <c r="L37" s="279"/>
      <c r="M37" s="279"/>
      <c r="N37" s="279"/>
      <c r="O37" s="279"/>
      <c r="P37" s="279"/>
      <c r="Q37" s="279"/>
      <c r="R37" s="279"/>
      <c r="S37" s="279"/>
      <c r="T37" s="279"/>
      <c r="U37" s="279"/>
      <c r="V37" s="279"/>
      <c r="W37" s="279"/>
      <c r="X37" s="279"/>
      <c r="Y37" s="242"/>
    </row>
    <row r="38" spans="1:25" s="17" customFormat="1" x14ac:dyDescent="0.2">
      <c r="A38" s="284" t="s">
        <v>8</v>
      </c>
      <c r="B38" s="284"/>
      <c r="C38" s="284" t="s">
        <v>9</v>
      </c>
      <c r="D38" s="284"/>
      <c r="E38" s="283"/>
      <c r="F38" s="279" t="s">
        <v>253</v>
      </c>
      <c r="G38" s="279"/>
      <c r="H38" s="279"/>
      <c r="I38" s="279"/>
      <c r="J38" s="279"/>
      <c r="K38" s="279"/>
      <c r="L38" s="279"/>
      <c r="M38" s="279"/>
      <c r="N38" s="279"/>
      <c r="O38" s="279"/>
      <c r="P38" s="279"/>
      <c r="Q38" s="279"/>
      <c r="R38" s="279"/>
      <c r="S38" s="279"/>
      <c r="T38" s="279"/>
      <c r="U38" s="279"/>
      <c r="V38" s="279"/>
      <c r="W38" s="279"/>
      <c r="X38" s="279"/>
      <c r="Y38" s="242"/>
    </row>
    <row r="39" spans="1:25" s="17" customFormat="1" x14ac:dyDescent="0.2">
      <c r="A39" s="148"/>
      <c r="B39" s="148"/>
      <c r="C39" s="148"/>
      <c r="D39" s="148"/>
      <c r="E39" s="146"/>
      <c r="F39" s="279"/>
      <c r="G39" s="279"/>
      <c r="H39" s="279"/>
      <c r="I39" s="279"/>
      <c r="J39" s="279"/>
      <c r="K39" s="279"/>
      <c r="L39" s="279"/>
      <c r="M39" s="279"/>
      <c r="N39" s="279"/>
      <c r="O39" s="279"/>
      <c r="P39" s="279"/>
      <c r="Q39" s="279"/>
      <c r="R39" s="279"/>
      <c r="S39" s="279"/>
      <c r="T39" s="279"/>
      <c r="U39" s="279"/>
      <c r="V39" s="279"/>
      <c r="W39" s="279"/>
      <c r="X39" s="279"/>
      <c r="Y39" s="242"/>
    </row>
    <row r="40" spans="1:25" s="17" customFormat="1" x14ac:dyDescent="0.2">
      <c r="A40" s="148"/>
      <c r="B40" s="148"/>
      <c r="C40" s="148"/>
      <c r="D40" s="148"/>
      <c r="E40" s="146"/>
      <c r="F40" s="279"/>
      <c r="G40" s="279"/>
      <c r="H40" s="279"/>
      <c r="I40" s="279"/>
      <c r="J40" s="279"/>
      <c r="K40" s="279"/>
      <c r="L40" s="279"/>
      <c r="M40" s="279"/>
      <c r="N40" s="279"/>
      <c r="O40" s="279"/>
      <c r="P40" s="279"/>
      <c r="Q40" s="279"/>
      <c r="R40" s="279"/>
      <c r="S40" s="279"/>
      <c r="T40" s="279"/>
      <c r="U40" s="279"/>
      <c r="V40" s="279"/>
      <c r="W40" s="279"/>
      <c r="X40" s="279"/>
      <c r="Y40" s="242"/>
    </row>
    <row r="41" spans="1:25" s="17" customFormat="1" x14ac:dyDescent="0.2">
      <c r="A41" s="16"/>
      <c r="B41" s="16"/>
      <c r="C41" s="16"/>
      <c r="D41" s="16"/>
      <c r="E41" s="16"/>
      <c r="F41" s="16"/>
      <c r="G41" s="16"/>
      <c r="H41" s="16"/>
      <c r="I41" s="16"/>
      <c r="J41" s="16"/>
      <c r="K41" s="16"/>
      <c r="L41" s="16"/>
      <c r="M41" s="16"/>
      <c r="N41" s="16"/>
      <c r="O41" s="16"/>
      <c r="P41" s="16"/>
      <c r="Q41" s="16"/>
      <c r="R41" s="16"/>
      <c r="S41" s="16"/>
      <c r="T41" s="16"/>
      <c r="U41" s="16"/>
      <c r="V41" s="16"/>
      <c r="W41" s="16"/>
      <c r="X41" s="16"/>
      <c r="Y41" s="242"/>
    </row>
    <row r="42" spans="1:25" s="17" customFormat="1" x14ac:dyDescent="0.2">
      <c r="A42" s="282" t="s">
        <v>22</v>
      </c>
      <c r="B42" s="282"/>
      <c r="C42" s="282"/>
      <c r="D42" s="282"/>
      <c r="E42" s="282"/>
      <c r="F42" s="282"/>
      <c r="G42" s="282"/>
      <c r="H42" s="282"/>
      <c r="I42" s="282"/>
      <c r="J42" s="282"/>
      <c r="K42" s="282"/>
      <c r="L42" s="282"/>
      <c r="M42" s="282"/>
      <c r="N42" s="282"/>
      <c r="O42" s="282"/>
      <c r="P42" s="282"/>
      <c r="Q42" s="283"/>
      <c r="R42" s="283"/>
      <c r="S42" s="283"/>
      <c r="T42" s="283"/>
      <c r="U42" s="283"/>
      <c r="V42" s="283"/>
      <c r="W42" s="283"/>
      <c r="X42" s="283"/>
      <c r="Y42" s="242"/>
    </row>
    <row r="43" spans="1:25" s="17" customFormat="1" x14ac:dyDescent="0.2">
      <c r="A43" s="19"/>
      <c r="B43" s="19"/>
      <c r="C43" s="19"/>
      <c r="D43" s="19"/>
      <c r="E43" s="19"/>
      <c r="F43" s="19"/>
      <c r="G43" s="19"/>
      <c r="H43" s="19"/>
      <c r="I43" s="19"/>
      <c r="J43" s="19"/>
      <c r="K43" s="19"/>
      <c r="L43" s="19"/>
      <c r="M43" s="19"/>
      <c r="N43" s="19"/>
      <c r="O43" s="19"/>
      <c r="P43" s="19"/>
      <c r="Q43" s="18"/>
      <c r="R43" s="18"/>
      <c r="S43" s="18"/>
      <c r="T43" s="18"/>
      <c r="U43" s="18"/>
      <c r="V43" s="18"/>
      <c r="W43" s="18"/>
      <c r="X43" s="18"/>
      <c r="Y43" s="242"/>
    </row>
    <row r="44" spans="1:25" s="17" customFormat="1" x14ac:dyDescent="0.2">
      <c r="A44" s="279" t="s">
        <v>23</v>
      </c>
      <c r="B44" s="279"/>
      <c r="C44" s="279"/>
      <c r="D44" s="279"/>
      <c r="E44" s="279"/>
      <c r="F44" s="279"/>
      <c r="G44" s="279"/>
      <c r="H44" s="279"/>
      <c r="I44" s="279"/>
      <c r="J44" s="279"/>
      <c r="K44" s="279"/>
      <c r="L44" s="279"/>
      <c r="M44" s="279"/>
      <c r="N44" s="279"/>
      <c r="O44" s="279"/>
      <c r="P44" s="279"/>
      <c r="Q44" s="279"/>
      <c r="R44" s="279"/>
      <c r="S44" s="279"/>
      <c r="T44" s="279"/>
      <c r="U44" s="279"/>
      <c r="V44" s="279"/>
      <c r="W44" s="279"/>
      <c r="X44" s="279"/>
      <c r="Y44" s="242"/>
    </row>
    <row r="45" spans="1:25" s="17" customFormat="1" x14ac:dyDescent="0.2">
      <c r="A45" s="9"/>
      <c r="B45" s="9"/>
      <c r="C45" s="9"/>
      <c r="D45" s="9"/>
      <c r="E45" s="9"/>
      <c r="F45" s="9"/>
      <c r="G45" s="9"/>
      <c r="H45" s="9"/>
      <c r="I45" s="9"/>
      <c r="J45" s="9"/>
      <c r="K45" s="9"/>
      <c r="L45" s="9"/>
      <c r="M45" s="9"/>
      <c r="N45" s="9"/>
      <c r="O45" s="9"/>
      <c r="P45" s="9"/>
      <c r="Q45" s="9"/>
      <c r="R45" s="9"/>
      <c r="S45" s="9"/>
      <c r="T45" s="9"/>
      <c r="U45" s="9"/>
      <c r="V45" s="9"/>
      <c r="W45" s="9"/>
      <c r="X45" s="9"/>
      <c r="Y45" s="242"/>
    </row>
    <row r="46" spans="1:25" s="17" customFormat="1" x14ac:dyDescent="0.2">
      <c r="A46" s="9"/>
      <c r="B46" s="279" t="s">
        <v>24</v>
      </c>
      <c r="C46" s="279"/>
      <c r="D46" s="279"/>
      <c r="E46" s="279"/>
      <c r="F46" s="279"/>
      <c r="G46" s="279"/>
      <c r="H46" s="279"/>
      <c r="I46" s="279"/>
      <c r="J46" s="279"/>
      <c r="K46" s="279"/>
      <c r="L46" s="279"/>
      <c r="M46" s="279"/>
      <c r="N46" s="279"/>
      <c r="O46" s="279"/>
      <c r="P46" s="279"/>
      <c r="Q46" s="279"/>
      <c r="R46" s="279"/>
      <c r="S46" s="279"/>
      <c r="T46" s="279"/>
      <c r="U46" s="279"/>
      <c r="V46" s="279"/>
      <c r="W46" s="279"/>
      <c r="X46" s="279"/>
      <c r="Y46" s="242"/>
    </row>
    <row r="47" spans="1:25" s="17" customFormat="1" x14ac:dyDescent="0.2">
      <c r="A47" s="152"/>
      <c r="B47" s="279"/>
      <c r="C47" s="279"/>
      <c r="D47" s="279"/>
      <c r="E47" s="279"/>
      <c r="F47" s="279"/>
      <c r="G47" s="279"/>
      <c r="H47" s="279"/>
      <c r="I47" s="279"/>
      <c r="J47" s="279"/>
      <c r="K47" s="279"/>
      <c r="L47" s="279"/>
      <c r="M47" s="279"/>
      <c r="N47" s="279"/>
      <c r="O47" s="279"/>
      <c r="P47" s="279"/>
      <c r="Q47" s="279"/>
      <c r="R47" s="279"/>
      <c r="S47" s="279"/>
      <c r="T47" s="279"/>
      <c r="U47" s="279"/>
      <c r="V47" s="279"/>
      <c r="W47" s="279"/>
      <c r="X47" s="279"/>
      <c r="Y47" s="242"/>
    </row>
    <row r="48" spans="1:25" s="17" customFormat="1" x14ac:dyDescent="0.2">
      <c r="A48" s="152"/>
      <c r="B48" s="279"/>
      <c r="C48" s="279"/>
      <c r="D48" s="279"/>
      <c r="E48" s="279"/>
      <c r="F48" s="279"/>
      <c r="G48" s="279"/>
      <c r="H48" s="279"/>
      <c r="I48" s="279"/>
      <c r="J48" s="279"/>
      <c r="K48" s="279"/>
      <c r="L48" s="279"/>
      <c r="M48" s="279"/>
      <c r="N48" s="279"/>
      <c r="O48" s="279"/>
      <c r="P48" s="279"/>
      <c r="Q48" s="279"/>
      <c r="R48" s="279"/>
      <c r="S48" s="279"/>
      <c r="T48" s="279"/>
      <c r="U48" s="279"/>
      <c r="V48" s="279"/>
      <c r="W48" s="279"/>
      <c r="X48" s="279"/>
      <c r="Y48" s="242"/>
    </row>
    <row r="49" spans="1:31" s="17" customFormat="1" x14ac:dyDescent="0.2">
      <c r="A49" s="152"/>
      <c r="B49" s="152"/>
      <c r="C49" s="152"/>
      <c r="D49" s="152"/>
      <c r="E49" s="152"/>
      <c r="F49" s="152"/>
      <c r="G49" s="152"/>
      <c r="H49" s="152"/>
      <c r="I49" s="152"/>
      <c r="J49" s="152"/>
      <c r="K49" s="152"/>
      <c r="L49" s="152"/>
      <c r="M49" s="152"/>
      <c r="N49" s="152"/>
      <c r="O49" s="152"/>
      <c r="P49" s="152"/>
      <c r="Q49" s="152"/>
      <c r="R49" s="152"/>
      <c r="S49" s="152"/>
      <c r="T49" s="152"/>
      <c r="U49" s="152"/>
      <c r="V49" s="152"/>
      <c r="W49" s="152"/>
      <c r="X49" s="152"/>
      <c r="Y49" s="242"/>
    </row>
    <row r="50" spans="1:31" s="17" customFormat="1" ht="15" customHeight="1" x14ac:dyDescent="0.2">
      <c r="A50" s="284" t="s">
        <v>8</v>
      </c>
      <c r="B50" s="284"/>
      <c r="C50" s="284" t="s">
        <v>9</v>
      </c>
      <c r="D50" s="284"/>
      <c r="E50" s="18"/>
      <c r="F50" s="279" t="s">
        <v>254</v>
      </c>
      <c r="G50" s="279"/>
      <c r="H50" s="279"/>
      <c r="I50" s="279"/>
      <c r="J50" s="279"/>
      <c r="K50" s="279"/>
      <c r="L50" s="279"/>
      <c r="M50" s="279"/>
      <c r="N50" s="279"/>
      <c r="O50" s="279"/>
      <c r="P50" s="279"/>
      <c r="Q50" s="279"/>
      <c r="R50" s="279"/>
      <c r="S50" s="279"/>
      <c r="T50" s="279"/>
      <c r="U50" s="279"/>
      <c r="V50" s="279"/>
      <c r="W50" s="279"/>
      <c r="X50" s="279"/>
      <c r="Y50" s="242"/>
      <c r="Z50" s="236" t="str">
        <f>"Please complete the adjacent '"&amp;TemplateYear&amp;" CE Credits' worksheet"</f>
        <v>Please complete the adjacent '2021 CE Credits' worksheet</v>
      </c>
    </row>
    <row r="51" spans="1:31" s="17" customFormat="1" ht="15" customHeight="1" x14ac:dyDescent="0.2">
      <c r="A51" s="20"/>
      <c r="B51" s="20"/>
      <c r="C51" s="20"/>
      <c r="D51" s="20"/>
      <c r="E51" s="18"/>
      <c r="F51" s="9"/>
      <c r="G51" s="9"/>
      <c r="H51" s="9"/>
      <c r="I51" s="9"/>
      <c r="J51" s="9"/>
      <c r="K51" s="9"/>
      <c r="L51" s="9"/>
      <c r="M51" s="9"/>
      <c r="N51" s="9"/>
      <c r="O51" s="9"/>
      <c r="P51" s="9"/>
      <c r="Q51" s="9"/>
      <c r="R51" s="9"/>
      <c r="S51" s="9"/>
      <c r="T51" s="9"/>
      <c r="U51" s="9"/>
      <c r="V51" s="9"/>
      <c r="W51" s="9"/>
      <c r="X51" s="9"/>
      <c r="Y51" s="242"/>
    </row>
    <row r="52" spans="1:31" s="21" customFormat="1" ht="22.5" customHeight="1" x14ac:dyDescent="0.25">
      <c r="A52" s="293" t="s">
        <v>26</v>
      </c>
      <c r="B52" s="294"/>
      <c r="C52" s="294"/>
      <c r="D52" s="294"/>
      <c r="E52" s="294"/>
      <c r="F52" s="294"/>
      <c r="G52" s="294"/>
      <c r="H52" s="294"/>
      <c r="I52" s="294"/>
      <c r="J52" s="294"/>
      <c r="K52" s="294"/>
      <c r="L52" s="294"/>
      <c r="M52" s="294"/>
      <c r="N52" s="294"/>
      <c r="O52" s="294"/>
      <c r="P52" s="294"/>
      <c r="Q52" s="294"/>
      <c r="R52" s="294"/>
      <c r="S52" s="294"/>
      <c r="T52" s="294"/>
      <c r="U52" s="294"/>
      <c r="V52" s="294"/>
      <c r="W52" s="294"/>
      <c r="X52" s="294"/>
      <c r="Y52" s="243"/>
      <c r="Z52" s="278" t="s">
        <v>263</v>
      </c>
      <c r="AA52" s="278"/>
      <c r="AB52" s="278"/>
      <c r="AC52" s="278"/>
      <c r="AD52" s="278"/>
      <c r="AE52" s="150"/>
    </row>
    <row r="53" spans="1:31" s="17" customFormat="1" ht="15" customHeight="1" x14ac:dyDescent="0.2">
      <c r="A53" s="20"/>
      <c r="B53" s="20"/>
      <c r="C53" s="20"/>
      <c r="D53" s="20"/>
      <c r="E53" s="18"/>
      <c r="F53" s="9"/>
      <c r="G53" s="9"/>
      <c r="H53" s="9"/>
      <c r="I53" s="9"/>
      <c r="J53" s="9"/>
      <c r="K53" s="9"/>
      <c r="L53" s="9"/>
      <c r="M53" s="9"/>
      <c r="N53" s="9"/>
      <c r="O53" s="9"/>
      <c r="P53" s="9"/>
      <c r="Q53" s="9"/>
      <c r="R53" s="9"/>
      <c r="S53" s="9"/>
      <c r="T53" s="9"/>
      <c r="U53" s="9"/>
      <c r="V53" s="9"/>
      <c r="W53" s="9"/>
      <c r="X53" s="9"/>
      <c r="Y53" s="242"/>
      <c r="Z53" s="278"/>
      <c r="AA53" s="278"/>
      <c r="AB53" s="278"/>
      <c r="AC53" s="278"/>
      <c r="AD53" s="278"/>
      <c r="AE53" s="150"/>
    </row>
    <row r="54" spans="1:31" s="17" customFormat="1" ht="15" customHeight="1" x14ac:dyDescent="0.2">
      <c r="A54" s="280" t="s">
        <v>27</v>
      </c>
      <c r="B54" s="281"/>
      <c r="C54" s="281"/>
      <c r="D54" s="281"/>
      <c r="E54" s="281"/>
      <c r="F54" s="281"/>
      <c r="G54" s="281"/>
      <c r="H54" s="281"/>
      <c r="I54" s="281"/>
      <c r="J54" s="281"/>
      <c r="K54" s="281"/>
      <c r="L54" s="281"/>
      <c r="M54" s="281"/>
      <c r="N54" s="281"/>
      <c r="O54" s="281"/>
      <c r="P54" s="281"/>
      <c r="Q54" s="281"/>
      <c r="R54" s="281"/>
      <c r="S54" s="281"/>
      <c r="T54" s="281"/>
      <c r="U54" s="281"/>
      <c r="V54" s="281"/>
      <c r="W54" s="281"/>
      <c r="X54" s="281"/>
      <c r="Y54" s="242"/>
      <c r="Z54" s="278"/>
      <c r="AA54" s="278"/>
      <c r="AB54" s="278"/>
      <c r="AC54" s="278"/>
      <c r="AD54" s="278"/>
      <c r="AE54" s="150"/>
    </row>
    <row r="55" spans="1:31" s="17" customFormat="1" ht="15" customHeight="1" x14ac:dyDescent="0.2">
      <c r="A55" s="16"/>
      <c r="B55" s="291" t="s">
        <v>262</v>
      </c>
      <c r="C55" s="292"/>
      <c r="D55" s="292"/>
      <c r="E55" s="292"/>
      <c r="F55" s="292"/>
      <c r="G55" s="292"/>
      <c r="H55" s="292"/>
      <c r="I55" s="292"/>
      <c r="J55" s="292"/>
      <c r="K55" s="292"/>
      <c r="L55" s="292"/>
      <c r="M55" s="292"/>
      <c r="N55" s="292"/>
      <c r="O55" s="292"/>
      <c r="P55" s="292"/>
      <c r="Q55" s="292"/>
      <c r="R55" s="292"/>
      <c r="S55" s="292"/>
      <c r="T55" s="292"/>
      <c r="U55" s="292"/>
      <c r="V55" s="292"/>
      <c r="W55" s="292"/>
      <c r="X55" s="292"/>
      <c r="Y55" s="242"/>
      <c r="Z55" s="278"/>
      <c r="AA55" s="278"/>
      <c r="AB55" s="278"/>
      <c r="AC55" s="278"/>
      <c r="AD55" s="278"/>
      <c r="AE55" s="150"/>
    </row>
    <row r="56" spans="1:31" s="17" customFormat="1" ht="15" customHeight="1" x14ac:dyDescent="0.2">
      <c r="A56" s="7"/>
      <c r="B56" s="292"/>
      <c r="C56" s="292"/>
      <c r="D56" s="292"/>
      <c r="E56" s="292"/>
      <c r="F56" s="292"/>
      <c r="G56" s="292"/>
      <c r="H56" s="292"/>
      <c r="I56" s="292"/>
      <c r="J56" s="292"/>
      <c r="K56" s="292"/>
      <c r="L56" s="292"/>
      <c r="M56" s="292"/>
      <c r="N56" s="292"/>
      <c r="O56" s="292"/>
      <c r="P56" s="292"/>
      <c r="Q56" s="292"/>
      <c r="R56" s="292"/>
      <c r="S56" s="292"/>
      <c r="T56" s="292"/>
      <c r="U56" s="292"/>
      <c r="V56" s="292"/>
      <c r="W56" s="292"/>
      <c r="X56" s="292"/>
      <c r="Y56" s="242"/>
      <c r="Z56" s="278"/>
      <c r="AA56" s="278"/>
      <c r="AB56" s="278"/>
      <c r="AC56" s="278"/>
      <c r="AD56" s="278"/>
      <c r="AE56" s="150"/>
    </row>
    <row r="57" spans="1:31" s="17" customFormat="1" ht="15" customHeight="1" x14ac:dyDescent="0.2">
      <c r="A57" s="20"/>
      <c r="B57" s="292"/>
      <c r="C57" s="292"/>
      <c r="D57" s="292"/>
      <c r="E57" s="292"/>
      <c r="F57" s="292"/>
      <c r="G57" s="292"/>
      <c r="H57" s="292"/>
      <c r="I57" s="292"/>
      <c r="J57" s="292"/>
      <c r="K57" s="292"/>
      <c r="L57" s="292"/>
      <c r="M57" s="292"/>
      <c r="N57" s="292"/>
      <c r="O57" s="292"/>
      <c r="P57" s="292"/>
      <c r="Q57" s="292"/>
      <c r="R57" s="292"/>
      <c r="S57" s="292"/>
      <c r="T57" s="292"/>
      <c r="U57" s="292"/>
      <c r="V57" s="292"/>
      <c r="W57" s="292"/>
      <c r="X57" s="292"/>
      <c r="Y57" s="242"/>
      <c r="Z57" s="278"/>
      <c r="AA57" s="278"/>
      <c r="AB57" s="278"/>
      <c r="AC57" s="278"/>
      <c r="AD57" s="278"/>
      <c r="AE57" s="150"/>
    </row>
    <row r="58" spans="1:31" s="17" customFormat="1" ht="20.25" customHeight="1" x14ac:dyDescent="0.2">
      <c r="A58" s="291" t="s">
        <v>28</v>
      </c>
      <c r="B58" s="292"/>
      <c r="C58" s="292"/>
      <c r="D58" s="292"/>
      <c r="E58" s="292"/>
      <c r="F58" s="292"/>
      <c r="G58" s="292"/>
      <c r="H58" s="292"/>
      <c r="I58" s="292"/>
      <c r="J58" s="292"/>
      <c r="K58" s="292"/>
      <c r="L58" s="292"/>
      <c r="M58" s="292"/>
      <c r="N58" s="292"/>
      <c r="O58" s="292"/>
      <c r="P58" s="292"/>
      <c r="Q58" s="292"/>
      <c r="R58" s="292"/>
      <c r="S58" s="292"/>
      <c r="T58" s="292"/>
      <c r="U58" s="292"/>
      <c r="V58" s="292"/>
      <c r="W58" s="292"/>
      <c r="X58" s="9"/>
      <c r="Y58" s="242"/>
      <c r="Z58" s="278"/>
      <c r="AA58" s="278"/>
      <c r="AB58" s="278"/>
      <c r="AC58" s="278"/>
      <c r="AD58" s="278"/>
      <c r="AE58" s="150"/>
    </row>
    <row r="59" spans="1:31" s="17" customFormat="1" x14ac:dyDescent="0.2">
      <c r="A59" s="20"/>
      <c r="B59" s="16"/>
      <c r="C59" s="16"/>
      <c r="D59" s="16"/>
      <c r="E59" s="16"/>
      <c r="F59" s="16"/>
      <c r="G59" s="16"/>
      <c r="H59" s="16"/>
      <c r="I59" s="16"/>
      <c r="J59" s="16"/>
      <c r="K59" s="16"/>
      <c r="L59" s="16"/>
      <c r="M59" s="16"/>
      <c r="N59" s="16"/>
      <c r="O59" s="16"/>
      <c r="P59" s="16"/>
      <c r="Q59" s="16"/>
      <c r="R59" s="16"/>
      <c r="S59" s="16"/>
      <c r="T59" s="16"/>
      <c r="U59" s="16"/>
      <c r="V59" s="16"/>
      <c r="W59" s="16"/>
      <c r="X59" s="16"/>
      <c r="Y59" s="242"/>
      <c r="Z59" s="278"/>
      <c r="AA59" s="278"/>
      <c r="AB59" s="278"/>
      <c r="AC59" s="278"/>
      <c r="AD59" s="278"/>
      <c r="AE59" s="150"/>
    </row>
    <row r="60" spans="1:31" s="17" customFormat="1" x14ac:dyDescent="0.2">
      <c r="A60" s="284" t="s">
        <v>8</v>
      </c>
      <c r="B60" s="284"/>
      <c r="C60" s="284" t="s">
        <v>9</v>
      </c>
      <c r="D60" s="284"/>
      <c r="E60" s="7"/>
      <c r="F60" s="286" t="s">
        <v>255</v>
      </c>
      <c r="G60" s="286"/>
      <c r="H60" s="286"/>
      <c r="I60" s="286"/>
      <c r="J60" s="286"/>
      <c r="K60" s="286"/>
      <c r="L60" s="286"/>
      <c r="M60" s="286"/>
      <c r="N60" s="286"/>
      <c r="O60" s="286"/>
      <c r="P60" s="286"/>
      <c r="Q60" s="286"/>
      <c r="R60" s="286"/>
      <c r="S60" s="286"/>
      <c r="T60" s="286"/>
      <c r="U60" s="286"/>
      <c r="V60" s="286"/>
      <c r="W60" s="286"/>
      <c r="X60" s="286"/>
      <c r="Y60" s="242"/>
      <c r="Z60" s="278"/>
      <c r="AA60" s="278"/>
      <c r="AB60" s="278"/>
      <c r="AC60" s="278"/>
      <c r="AD60" s="278"/>
      <c r="AE60" s="150"/>
    </row>
    <row r="61" spans="1:31" s="17" customFormat="1" x14ac:dyDescent="0.2">
      <c r="A61" s="148"/>
      <c r="B61" s="148"/>
      <c r="C61" s="148"/>
      <c r="D61" s="148"/>
      <c r="E61" s="7"/>
      <c r="F61" s="286"/>
      <c r="G61" s="286"/>
      <c r="H61" s="286"/>
      <c r="I61" s="286"/>
      <c r="J61" s="286"/>
      <c r="K61" s="286"/>
      <c r="L61" s="286"/>
      <c r="M61" s="286"/>
      <c r="N61" s="286"/>
      <c r="O61" s="286"/>
      <c r="P61" s="286"/>
      <c r="Q61" s="286"/>
      <c r="R61" s="286"/>
      <c r="S61" s="286"/>
      <c r="T61" s="286"/>
      <c r="U61" s="286"/>
      <c r="V61" s="286"/>
      <c r="W61" s="286"/>
      <c r="X61" s="286"/>
      <c r="Y61" s="242"/>
      <c r="Z61" s="278"/>
      <c r="AA61" s="278"/>
      <c r="AB61" s="278"/>
      <c r="AC61" s="278"/>
      <c r="AD61" s="278"/>
      <c r="AE61" s="150"/>
    </row>
    <row r="62" spans="1:31" s="17" customFormat="1" x14ac:dyDescent="0.2">
      <c r="A62" s="20"/>
      <c r="B62" s="22"/>
      <c r="C62" s="20"/>
      <c r="D62" s="20"/>
      <c r="E62" s="18"/>
      <c r="F62" s="286"/>
      <c r="G62" s="286"/>
      <c r="H62" s="286"/>
      <c r="I62" s="286"/>
      <c r="J62" s="286"/>
      <c r="K62" s="286"/>
      <c r="L62" s="286"/>
      <c r="M62" s="286"/>
      <c r="N62" s="286"/>
      <c r="O62" s="286"/>
      <c r="P62" s="286"/>
      <c r="Q62" s="286"/>
      <c r="R62" s="286"/>
      <c r="S62" s="286"/>
      <c r="T62" s="286"/>
      <c r="U62" s="286"/>
      <c r="V62" s="286"/>
      <c r="W62" s="286"/>
      <c r="X62" s="286"/>
      <c r="Y62" s="242"/>
      <c r="Z62" s="278"/>
      <c r="AA62" s="278"/>
      <c r="AB62" s="278"/>
      <c r="AC62" s="278"/>
      <c r="AD62" s="278"/>
      <c r="AE62" s="150"/>
    </row>
    <row r="63" spans="1:31" s="17" customFormat="1" x14ac:dyDescent="0.2">
      <c r="A63" s="20"/>
      <c r="B63" s="20"/>
      <c r="C63" s="20"/>
      <c r="D63" s="20"/>
      <c r="E63" s="18"/>
      <c r="F63" s="9"/>
      <c r="G63" s="9"/>
      <c r="H63" s="9"/>
      <c r="I63" s="9"/>
      <c r="J63" s="9"/>
      <c r="K63" s="9"/>
      <c r="L63" s="9"/>
      <c r="M63" s="9"/>
      <c r="N63" s="9"/>
      <c r="O63" s="9"/>
      <c r="P63" s="9"/>
      <c r="Q63" s="9"/>
      <c r="R63" s="9"/>
      <c r="S63" s="9"/>
      <c r="T63" s="9"/>
      <c r="U63" s="9"/>
      <c r="V63" s="9"/>
      <c r="W63" s="9"/>
      <c r="X63" s="9"/>
      <c r="Y63" s="242"/>
      <c r="Z63" s="149"/>
      <c r="AA63" s="149"/>
      <c r="AB63" s="150"/>
      <c r="AC63" s="150"/>
      <c r="AD63" s="150"/>
      <c r="AE63" s="150"/>
    </row>
    <row r="64" spans="1:31" s="17" customFormat="1" x14ac:dyDescent="0.2">
      <c r="A64" s="284" t="s">
        <v>8</v>
      </c>
      <c r="B64" s="284"/>
      <c r="C64" s="284" t="s">
        <v>9</v>
      </c>
      <c r="D64" s="284"/>
      <c r="E64" s="22"/>
      <c r="F64" s="296" t="s">
        <v>256</v>
      </c>
      <c r="G64" s="296"/>
      <c r="H64" s="296"/>
      <c r="I64" s="296"/>
      <c r="J64" s="296"/>
      <c r="K64" s="296"/>
      <c r="L64" s="296"/>
      <c r="M64" s="296"/>
      <c r="N64" s="296"/>
      <c r="O64" s="296"/>
      <c r="P64" s="296"/>
      <c r="Q64" s="296"/>
      <c r="R64" s="296"/>
      <c r="S64" s="296"/>
      <c r="T64" s="296"/>
      <c r="U64" s="296"/>
      <c r="V64" s="296"/>
      <c r="W64" s="296"/>
      <c r="X64" s="296"/>
      <c r="Y64" s="242"/>
      <c r="Z64" s="149"/>
      <c r="AA64" s="149"/>
      <c r="AB64" s="150"/>
      <c r="AC64" s="150"/>
      <c r="AD64" s="150"/>
      <c r="AE64" s="150"/>
    </row>
    <row r="65" spans="1:31" s="17" customFormat="1" x14ac:dyDescent="0.2">
      <c r="A65" s="148"/>
      <c r="B65" s="148"/>
      <c r="C65" s="148"/>
      <c r="D65" s="148"/>
      <c r="E65" s="22"/>
      <c r="F65" s="296"/>
      <c r="G65" s="296"/>
      <c r="H65" s="296"/>
      <c r="I65" s="296"/>
      <c r="J65" s="296"/>
      <c r="K65" s="296"/>
      <c r="L65" s="296"/>
      <c r="M65" s="296"/>
      <c r="N65" s="296"/>
      <c r="O65" s="296"/>
      <c r="P65" s="296"/>
      <c r="Q65" s="296"/>
      <c r="R65" s="296"/>
      <c r="S65" s="296"/>
      <c r="T65" s="296"/>
      <c r="U65" s="296"/>
      <c r="V65" s="296"/>
      <c r="W65" s="296"/>
      <c r="X65" s="296"/>
      <c r="Y65" s="242"/>
      <c r="Z65" s="149"/>
      <c r="AA65" s="149"/>
      <c r="AB65" s="150"/>
      <c r="AC65" s="150"/>
      <c r="AD65" s="150"/>
      <c r="AE65" s="150"/>
    </row>
    <row r="66" spans="1:31" s="17" customFormat="1" x14ac:dyDescent="0.2">
      <c r="A66" s="20"/>
      <c r="B66" s="20"/>
      <c r="C66" s="20"/>
      <c r="D66" s="20"/>
      <c r="E66" s="18"/>
      <c r="F66" s="296"/>
      <c r="G66" s="296"/>
      <c r="H66" s="296"/>
      <c r="I66" s="296"/>
      <c r="J66" s="296"/>
      <c r="K66" s="296"/>
      <c r="L66" s="296"/>
      <c r="M66" s="296"/>
      <c r="N66" s="296"/>
      <c r="O66" s="296"/>
      <c r="P66" s="296"/>
      <c r="Q66" s="296"/>
      <c r="R66" s="296"/>
      <c r="S66" s="296"/>
      <c r="T66" s="296"/>
      <c r="U66" s="296"/>
      <c r="V66" s="296"/>
      <c r="W66" s="296"/>
      <c r="X66" s="296"/>
      <c r="Y66" s="242"/>
      <c r="Z66" s="149"/>
      <c r="AA66" s="149"/>
      <c r="AB66" s="150"/>
      <c r="AC66" s="150"/>
      <c r="AD66" s="150"/>
      <c r="AE66" s="150"/>
    </row>
    <row r="67" spans="1:31" s="17" customFormat="1" x14ac:dyDescent="0.2">
      <c r="A67" s="20"/>
      <c r="B67" s="20"/>
      <c r="C67" s="20"/>
      <c r="D67" s="20"/>
      <c r="E67" s="18"/>
      <c r="F67" s="9"/>
      <c r="G67" s="9"/>
      <c r="H67" s="9"/>
      <c r="I67" s="9"/>
      <c r="J67" s="9"/>
      <c r="K67" s="9"/>
      <c r="L67" s="9"/>
      <c r="M67" s="9"/>
      <c r="N67" s="9"/>
      <c r="O67" s="9"/>
      <c r="P67" s="9"/>
      <c r="Q67" s="9"/>
      <c r="R67" s="9"/>
      <c r="S67" s="9"/>
      <c r="T67" s="9"/>
      <c r="U67" s="9"/>
      <c r="V67" s="9"/>
      <c r="W67" s="9"/>
      <c r="X67" s="9"/>
      <c r="Y67" s="242"/>
      <c r="Z67" s="149"/>
      <c r="AA67" s="149"/>
      <c r="AB67" s="150"/>
      <c r="AC67" s="150"/>
      <c r="AD67" s="150"/>
      <c r="AE67" s="150"/>
    </row>
    <row r="68" spans="1:31" s="17" customFormat="1" x14ac:dyDescent="0.2">
      <c r="A68" s="284" t="s">
        <v>8</v>
      </c>
      <c r="B68" s="284"/>
      <c r="C68" s="284" t="s">
        <v>9</v>
      </c>
      <c r="D68" s="284"/>
      <c r="E68" s="22"/>
      <c r="F68" s="279" t="s">
        <v>257</v>
      </c>
      <c r="G68" s="279"/>
      <c r="H68" s="279"/>
      <c r="I68" s="279"/>
      <c r="J68" s="279"/>
      <c r="K68" s="279"/>
      <c r="L68" s="279"/>
      <c r="M68" s="279"/>
      <c r="N68" s="279"/>
      <c r="O68" s="279"/>
      <c r="P68" s="279"/>
      <c r="Q68" s="279"/>
      <c r="R68" s="279"/>
      <c r="S68" s="279"/>
      <c r="T68" s="279"/>
      <c r="U68" s="279"/>
      <c r="V68" s="279"/>
      <c r="W68" s="279"/>
      <c r="X68" s="279"/>
      <c r="Y68" s="242"/>
      <c r="Z68" s="149"/>
      <c r="AA68" s="149"/>
      <c r="AB68" s="150"/>
      <c r="AC68" s="150"/>
      <c r="AD68" s="150"/>
      <c r="AE68" s="150"/>
    </row>
    <row r="69" spans="1:31" s="17" customFormat="1" x14ac:dyDescent="0.2">
      <c r="A69" s="148"/>
      <c r="B69" s="148"/>
      <c r="C69" s="148"/>
      <c r="D69" s="148"/>
      <c r="E69" s="22"/>
      <c r="F69" s="279"/>
      <c r="G69" s="279"/>
      <c r="H69" s="279"/>
      <c r="I69" s="279"/>
      <c r="J69" s="279"/>
      <c r="K69" s="279"/>
      <c r="L69" s="279"/>
      <c r="M69" s="279"/>
      <c r="N69" s="279"/>
      <c r="O69" s="279"/>
      <c r="P69" s="279"/>
      <c r="Q69" s="279"/>
      <c r="R69" s="279"/>
      <c r="S69" s="279"/>
      <c r="T69" s="279"/>
      <c r="U69" s="279"/>
      <c r="V69" s="279"/>
      <c r="W69" s="279"/>
      <c r="X69" s="279"/>
      <c r="Y69" s="242"/>
      <c r="Z69" s="149"/>
      <c r="AA69" s="149"/>
      <c r="AB69" s="150"/>
      <c r="AC69" s="150"/>
      <c r="AD69" s="150"/>
      <c r="AE69" s="150"/>
    </row>
    <row r="70" spans="1:31" s="17" customFormat="1" x14ac:dyDescent="0.2">
      <c r="A70" s="20"/>
      <c r="B70" s="20"/>
      <c r="C70" s="20"/>
      <c r="D70" s="20"/>
      <c r="E70" s="18"/>
      <c r="F70" s="279"/>
      <c r="G70" s="279"/>
      <c r="H70" s="279"/>
      <c r="I70" s="279"/>
      <c r="J70" s="279"/>
      <c r="K70" s="279"/>
      <c r="L70" s="279"/>
      <c r="M70" s="279"/>
      <c r="N70" s="279"/>
      <c r="O70" s="279"/>
      <c r="P70" s="279"/>
      <c r="Q70" s="279"/>
      <c r="R70" s="279"/>
      <c r="S70" s="279"/>
      <c r="T70" s="279"/>
      <c r="U70" s="279"/>
      <c r="V70" s="279"/>
      <c r="W70" s="279"/>
      <c r="X70" s="279"/>
      <c r="Y70" s="242"/>
      <c r="Z70" s="149"/>
      <c r="AA70" s="149"/>
      <c r="AB70" s="150"/>
      <c r="AC70" s="150"/>
      <c r="AD70" s="150"/>
      <c r="AE70" s="150"/>
    </row>
    <row r="71" spans="1:31" s="17" customFormat="1" ht="12.75" customHeight="1" x14ac:dyDescent="0.2">
      <c r="A71" s="20"/>
      <c r="B71" s="20"/>
      <c r="C71" s="20"/>
      <c r="D71" s="20"/>
      <c r="E71" s="18"/>
      <c r="F71" s="23"/>
      <c r="G71" s="23"/>
      <c r="H71" s="23"/>
      <c r="I71" s="23"/>
      <c r="J71" s="23"/>
      <c r="K71" s="23"/>
      <c r="L71" s="23"/>
      <c r="M71" s="23"/>
      <c r="N71" s="23"/>
      <c r="O71" s="23"/>
      <c r="P71" s="23"/>
      <c r="Q71" s="23"/>
      <c r="R71" s="23"/>
      <c r="S71" s="23"/>
      <c r="T71" s="23"/>
      <c r="U71" s="23"/>
      <c r="V71" s="23"/>
      <c r="W71" s="23"/>
      <c r="X71" s="23"/>
      <c r="Y71" s="242"/>
      <c r="Z71" s="149"/>
      <c r="AA71" s="149"/>
      <c r="AB71" s="150"/>
      <c r="AC71" s="150"/>
      <c r="AD71" s="150"/>
      <c r="AE71" s="150"/>
    </row>
    <row r="72" spans="1:31" s="17" customFormat="1" ht="13.5" customHeight="1" x14ac:dyDescent="0.2">
      <c r="A72" s="24" t="s">
        <v>29</v>
      </c>
      <c r="B72" s="20"/>
      <c r="C72" s="20"/>
      <c r="D72" s="20"/>
      <c r="E72" s="18"/>
      <c r="F72" s="23"/>
      <c r="G72" s="23"/>
      <c r="H72" s="23"/>
      <c r="I72" s="23"/>
      <c r="J72" s="23"/>
      <c r="K72" s="23"/>
      <c r="L72" s="23"/>
      <c r="M72" s="23"/>
      <c r="N72" s="23"/>
      <c r="O72" s="23"/>
      <c r="P72" s="23"/>
      <c r="Q72" s="23"/>
      <c r="R72" s="23"/>
      <c r="S72" s="23"/>
      <c r="T72" s="23"/>
      <c r="U72" s="23"/>
      <c r="V72" s="23"/>
      <c r="W72" s="23"/>
      <c r="X72" s="23"/>
      <c r="Y72" s="242"/>
      <c r="Z72" s="149"/>
      <c r="AA72" s="149"/>
      <c r="AB72" s="150"/>
      <c r="AC72" s="150"/>
      <c r="AD72" s="150"/>
      <c r="AE72" s="150"/>
    </row>
    <row r="73" spans="1:31" s="17" customFormat="1" x14ac:dyDescent="0.2">
      <c r="A73" s="20"/>
      <c r="B73" s="20"/>
      <c r="C73" s="20"/>
      <c r="D73" s="20"/>
      <c r="E73" s="18"/>
      <c r="F73" s="23"/>
      <c r="G73" s="23"/>
      <c r="H73" s="23"/>
      <c r="I73" s="23"/>
      <c r="J73" s="23"/>
      <c r="K73" s="23"/>
      <c r="L73" s="23"/>
      <c r="M73" s="23"/>
      <c r="N73" s="23"/>
      <c r="O73" s="23"/>
      <c r="P73" s="23"/>
      <c r="Q73" s="23"/>
      <c r="R73" s="23"/>
      <c r="S73" s="23"/>
      <c r="T73" s="23"/>
      <c r="U73" s="23"/>
      <c r="V73" s="23"/>
      <c r="W73" s="23"/>
      <c r="X73" s="23"/>
      <c r="Y73" s="242"/>
      <c r="Z73" s="149"/>
      <c r="AA73" s="149"/>
      <c r="AB73" s="150"/>
      <c r="AC73" s="150"/>
      <c r="AD73" s="150"/>
      <c r="AE73" s="150"/>
    </row>
    <row r="74" spans="1:31" s="17" customFormat="1" ht="16.5" customHeight="1" x14ac:dyDescent="0.2">
      <c r="A74" s="291" t="s">
        <v>30</v>
      </c>
      <c r="B74" s="292"/>
      <c r="C74" s="292"/>
      <c r="D74" s="292"/>
      <c r="E74" s="292"/>
      <c r="F74" s="292"/>
      <c r="G74" s="292"/>
      <c r="H74" s="292"/>
      <c r="I74" s="292"/>
      <c r="J74" s="292"/>
      <c r="K74" s="292"/>
      <c r="L74" s="292"/>
      <c r="M74" s="292"/>
      <c r="N74" s="292"/>
      <c r="O74" s="292"/>
      <c r="P74" s="292"/>
      <c r="Q74" s="292"/>
      <c r="R74" s="292"/>
      <c r="S74" s="292"/>
      <c r="T74" s="292"/>
      <c r="U74" s="292"/>
      <c r="V74" s="292"/>
      <c r="W74" s="292"/>
      <c r="X74" s="9"/>
      <c r="Y74" s="242"/>
      <c r="Z74" s="149"/>
      <c r="AA74" s="149"/>
      <c r="AB74" s="150"/>
      <c r="AC74" s="150"/>
      <c r="AD74" s="150"/>
      <c r="AE74" s="150"/>
    </row>
    <row r="75" spans="1:31" s="17" customFormat="1" ht="12" customHeight="1" x14ac:dyDescent="0.2">
      <c r="A75" s="20"/>
      <c r="B75" s="20"/>
      <c r="C75" s="20"/>
      <c r="D75" s="20"/>
      <c r="E75" s="18"/>
      <c r="F75" s="9"/>
      <c r="G75" s="9"/>
      <c r="H75" s="9"/>
      <c r="I75" s="9"/>
      <c r="J75" s="9"/>
      <c r="K75" s="9"/>
      <c r="L75" s="9"/>
      <c r="M75" s="9"/>
      <c r="N75" s="9"/>
      <c r="O75" s="9"/>
      <c r="P75" s="9"/>
      <c r="Q75" s="9"/>
      <c r="R75" s="9"/>
      <c r="S75" s="9"/>
      <c r="T75" s="9"/>
      <c r="U75" s="9"/>
      <c r="V75" s="9"/>
      <c r="W75" s="9"/>
      <c r="X75" s="9"/>
      <c r="Y75" s="242"/>
      <c r="Z75" s="149"/>
      <c r="AA75" s="149"/>
      <c r="AB75" s="150"/>
      <c r="AC75" s="150"/>
      <c r="AD75" s="150"/>
      <c r="AE75" s="150"/>
    </row>
    <row r="76" spans="1:31" s="17" customFormat="1" x14ac:dyDescent="0.2">
      <c r="A76" s="284" t="s">
        <v>8</v>
      </c>
      <c r="B76" s="284"/>
      <c r="C76" s="284" t="s">
        <v>9</v>
      </c>
      <c r="D76" s="284"/>
      <c r="E76" s="22"/>
      <c r="F76" s="279" t="s">
        <v>258</v>
      </c>
      <c r="G76" s="279"/>
      <c r="H76" s="279"/>
      <c r="I76" s="279"/>
      <c r="J76" s="279"/>
      <c r="K76" s="279"/>
      <c r="L76" s="279"/>
      <c r="M76" s="279"/>
      <c r="N76" s="279"/>
      <c r="O76" s="279"/>
      <c r="P76" s="279"/>
      <c r="Q76" s="279"/>
      <c r="R76" s="279"/>
      <c r="S76" s="279"/>
      <c r="T76" s="279"/>
      <c r="U76" s="279"/>
      <c r="V76" s="279"/>
      <c r="W76" s="279"/>
      <c r="X76" s="279"/>
      <c r="Y76" s="242"/>
      <c r="Z76" s="237" t="s">
        <v>244</v>
      </c>
      <c r="AA76" s="149"/>
      <c r="AB76" s="150"/>
      <c r="AC76" s="150"/>
      <c r="AD76" s="150"/>
      <c r="AE76" s="150"/>
    </row>
    <row r="77" spans="1:31" s="17" customFormat="1" x14ac:dyDescent="0.2">
      <c r="A77" s="20"/>
      <c r="B77" s="20"/>
      <c r="C77" s="20"/>
      <c r="D77" s="20"/>
      <c r="E77" s="18"/>
      <c r="F77" s="279"/>
      <c r="G77" s="279"/>
      <c r="H77" s="279"/>
      <c r="I77" s="279"/>
      <c r="J77" s="279"/>
      <c r="K77" s="279"/>
      <c r="L77" s="279"/>
      <c r="M77" s="279"/>
      <c r="N77" s="279"/>
      <c r="O77" s="279"/>
      <c r="P77" s="279"/>
      <c r="Q77" s="279"/>
      <c r="R77" s="279"/>
      <c r="S77" s="279"/>
      <c r="T77" s="279"/>
      <c r="U77" s="279"/>
      <c r="V77" s="279"/>
      <c r="W77" s="279"/>
      <c r="X77" s="279"/>
      <c r="Y77" s="242"/>
      <c r="Z77" s="149"/>
      <c r="AA77" s="149"/>
      <c r="AB77" s="150"/>
      <c r="AC77" s="150"/>
      <c r="AD77" s="150"/>
      <c r="AE77" s="150"/>
    </row>
    <row r="78" spans="1:31" s="17" customFormat="1" x14ac:dyDescent="0.2">
      <c r="A78" s="148"/>
      <c r="B78" s="148"/>
      <c r="C78" s="148"/>
      <c r="D78" s="148"/>
      <c r="E78" s="146"/>
      <c r="F78" s="279"/>
      <c r="G78" s="279"/>
      <c r="H78" s="279"/>
      <c r="I78" s="279"/>
      <c r="J78" s="279"/>
      <c r="K78" s="279"/>
      <c r="L78" s="279"/>
      <c r="M78" s="279"/>
      <c r="N78" s="279"/>
      <c r="O78" s="279"/>
      <c r="P78" s="279"/>
      <c r="Q78" s="279"/>
      <c r="R78" s="279"/>
      <c r="S78" s="279"/>
      <c r="T78" s="279"/>
      <c r="U78" s="279"/>
      <c r="V78" s="279"/>
      <c r="W78" s="279"/>
      <c r="X78" s="279"/>
      <c r="Y78" s="242"/>
      <c r="Z78" s="149"/>
      <c r="AA78" s="149"/>
      <c r="AB78" s="150"/>
      <c r="AC78" s="150"/>
      <c r="AD78" s="150"/>
      <c r="AE78" s="150"/>
    </row>
    <row r="79" spans="1:31" s="17" customFormat="1" x14ac:dyDescent="0.2">
      <c r="A79" s="20"/>
      <c r="B79" s="20"/>
      <c r="C79" s="20"/>
      <c r="D79" s="20"/>
      <c r="E79" s="18"/>
      <c r="F79" s="279"/>
      <c r="G79" s="279"/>
      <c r="H79" s="279"/>
      <c r="I79" s="279"/>
      <c r="J79" s="279"/>
      <c r="K79" s="279"/>
      <c r="L79" s="279"/>
      <c r="M79" s="279"/>
      <c r="N79" s="279"/>
      <c r="O79" s="279"/>
      <c r="P79" s="279"/>
      <c r="Q79" s="279"/>
      <c r="R79" s="279"/>
      <c r="S79" s="279"/>
      <c r="T79" s="279"/>
      <c r="U79" s="279"/>
      <c r="V79" s="279"/>
      <c r="W79" s="279"/>
      <c r="X79" s="279"/>
      <c r="Y79" s="242"/>
      <c r="Z79" s="149"/>
      <c r="AA79" s="149"/>
      <c r="AB79" s="150"/>
      <c r="AC79" s="150"/>
      <c r="AD79" s="150"/>
      <c r="AE79" s="150"/>
    </row>
    <row r="80" spans="1:31" ht="15" x14ac:dyDescent="0.2">
      <c r="A80" s="13"/>
      <c r="B80" s="6"/>
      <c r="C80" s="5"/>
      <c r="D80" s="5"/>
      <c r="E80" s="5"/>
      <c r="F80" s="5"/>
      <c r="G80" s="5"/>
      <c r="H80" s="5"/>
      <c r="I80" s="5"/>
      <c r="J80" s="5"/>
      <c r="K80" s="5"/>
      <c r="L80" s="5"/>
      <c r="M80" s="5"/>
      <c r="N80" s="5"/>
      <c r="O80" s="5"/>
      <c r="P80" s="5"/>
      <c r="Q80" s="5"/>
      <c r="R80" s="5"/>
      <c r="S80" s="5"/>
      <c r="T80" s="14"/>
      <c r="U80" s="14"/>
      <c r="V80" s="14"/>
      <c r="W80" s="14"/>
      <c r="X80" s="14"/>
      <c r="Y80" s="244"/>
      <c r="Z80" s="149"/>
      <c r="AA80" s="149"/>
      <c r="AB80" s="150"/>
      <c r="AC80" s="150"/>
      <c r="AD80" s="150"/>
      <c r="AE80" s="150"/>
    </row>
    <row r="81" spans="1:31" s="17" customFormat="1" ht="15" customHeight="1" x14ac:dyDescent="0.2">
      <c r="A81" s="280" t="s">
        <v>31</v>
      </c>
      <c r="B81" s="281"/>
      <c r="C81" s="281"/>
      <c r="D81" s="281"/>
      <c r="E81" s="281"/>
      <c r="F81" s="281"/>
      <c r="G81" s="281"/>
      <c r="H81" s="281"/>
      <c r="I81" s="281"/>
      <c r="J81" s="281"/>
      <c r="K81" s="281"/>
      <c r="L81" s="281"/>
      <c r="M81" s="281"/>
      <c r="N81" s="281"/>
      <c r="O81" s="281"/>
      <c r="P81" s="281"/>
      <c r="Q81" s="281"/>
      <c r="R81" s="281"/>
      <c r="S81" s="281"/>
      <c r="T81" s="281"/>
      <c r="U81" s="281"/>
      <c r="V81" s="281"/>
      <c r="W81" s="281"/>
      <c r="X81" s="281"/>
      <c r="Y81" s="242"/>
      <c r="Z81" s="149"/>
      <c r="AA81" s="149"/>
      <c r="AB81" s="150"/>
      <c r="AC81" s="150"/>
      <c r="AD81" s="150"/>
      <c r="AE81" s="150"/>
    </row>
    <row r="82" spans="1:31" s="17" customFormat="1" ht="12" customHeight="1" x14ac:dyDescent="0.2">
      <c r="A82" s="16"/>
      <c r="B82" s="20"/>
      <c r="C82" s="20"/>
      <c r="D82" s="20"/>
      <c r="E82" s="18"/>
      <c r="F82" s="23"/>
      <c r="G82" s="23"/>
      <c r="H82" s="23"/>
      <c r="I82" s="23"/>
      <c r="J82" s="23"/>
      <c r="K82" s="23"/>
      <c r="L82" s="23"/>
      <c r="M82" s="23"/>
      <c r="N82" s="23"/>
      <c r="O82" s="23"/>
      <c r="P82" s="23"/>
      <c r="Q82" s="23"/>
      <c r="R82" s="23"/>
      <c r="S82" s="23"/>
      <c r="T82" s="23"/>
      <c r="U82" s="23"/>
      <c r="V82" s="23"/>
      <c r="W82" s="23"/>
      <c r="X82" s="23"/>
      <c r="Y82" s="242"/>
      <c r="Z82" s="149"/>
      <c r="AA82" s="149"/>
      <c r="AB82" s="150"/>
      <c r="AC82" s="150"/>
      <c r="AD82" s="150"/>
      <c r="AE82" s="150"/>
    </row>
    <row r="83" spans="1:31" s="17" customFormat="1" x14ac:dyDescent="0.2">
      <c r="A83" s="284" t="s">
        <v>8</v>
      </c>
      <c r="B83" s="284"/>
      <c r="C83" s="284" t="s">
        <v>9</v>
      </c>
      <c r="D83" s="284"/>
      <c r="E83" s="22"/>
      <c r="F83" s="279" t="s">
        <v>259</v>
      </c>
      <c r="G83" s="279"/>
      <c r="H83" s="279"/>
      <c r="I83" s="279"/>
      <c r="J83" s="279"/>
      <c r="K83" s="279"/>
      <c r="L83" s="279"/>
      <c r="M83" s="279"/>
      <c r="N83" s="279"/>
      <c r="O83" s="279"/>
      <c r="P83" s="279"/>
      <c r="Q83" s="279"/>
      <c r="R83" s="279"/>
      <c r="S83" s="279"/>
      <c r="T83" s="279"/>
      <c r="U83" s="279"/>
      <c r="V83" s="279"/>
      <c r="W83" s="279"/>
      <c r="X83" s="279"/>
      <c r="Y83" s="242"/>
      <c r="Z83" s="237" t="s">
        <v>244</v>
      </c>
      <c r="AA83" s="149"/>
      <c r="AB83" s="150"/>
      <c r="AC83" s="150"/>
      <c r="AD83" s="150"/>
      <c r="AE83" s="150"/>
    </row>
    <row r="84" spans="1:31" s="17" customFormat="1" x14ac:dyDescent="0.2">
      <c r="A84" s="20"/>
      <c r="B84" s="20"/>
      <c r="C84" s="20"/>
      <c r="D84" s="20"/>
      <c r="E84" s="18"/>
      <c r="F84" s="279"/>
      <c r="G84" s="279"/>
      <c r="H84" s="279"/>
      <c r="I84" s="279"/>
      <c r="J84" s="279"/>
      <c r="K84" s="279"/>
      <c r="L84" s="279"/>
      <c r="M84" s="279"/>
      <c r="N84" s="279"/>
      <c r="O84" s="279"/>
      <c r="P84" s="279"/>
      <c r="Q84" s="279"/>
      <c r="R84" s="279"/>
      <c r="S84" s="279"/>
      <c r="T84" s="279"/>
      <c r="U84" s="279"/>
      <c r="V84" s="279"/>
      <c r="W84" s="279"/>
      <c r="X84" s="279"/>
      <c r="Y84" s="242"/>
      <c r="Z84" s="149"/>
      <c r="AA84" s="149"/>
      <c r="AB84" s="150"/>
      <c r="AC84" s="150"/>
      <c r="AD84" s="150"/>
      <c r="AE84" s="150"/>
    </row>
    <row r="85" spans="1:31" s="17" customFormat="1" x14ac:dyDescent="0.2">
      <c r="A85" s="148"/>
      <c r="B85" s="148"/>
      <c r="C85" s="148"/>
      <c r="D85" s="148"/>
      <c r="E85" s="146"/>
      <c r="F85" s="279"/>
      <c r="G85" s="279"/>
      <c r="H85" s="279"/>
      <c r="I85" s="279"/>
      <c r="J85" s="279"/>
      <c r="K85" s="279"/>
      <c r="L85" s="279"/>
      <c r="M85" s="279"/>
      <c r="N85" s="279"/>
      <c r="O85" s="279"/>
      <c r="P85" s="279"/>
      <c r="Q85" s="279"/>
      <c r="R85" s="279"/>
      <c r="S85" s="279"/>
      <c r="T85" s="279"/>
      <c r="U85" s="279"/>
      <c r="V85" s="279"/>
      <c r="W85" s="279"/>
      <c r="X85" s="279"/>
      <c r="Y85" s="242"/>
      <c r="Z85" s="149"/>
      <c r="AA85" s="149"/>
      <c r="AB85" s="150"/>
      <c r="AC85" s="150"/>
      <c r="AD85" s="150"/>
      <c r="AE85" s="150"/>
    </row>
    <row r="86" spans="1:31" s="17" customFormat="1" ht="11.25" customHeight="1" x14ac:dyDescent="0.2">
      <c r="A86" s="20"/>
      <c r="B86" s="16"/>
      <c r="C86" s="22"/>
      <c r="D86" s="22"/>
      <c r="E86" s="22"/>
      <c r="F86" s="22"/>
      <c r="G86" s="22"/>
      <c r="H86" s="22"/>
      <c r="I86" s="22"/>
      <c r="J86" s="22"/>
      <c r="K86" s="22"/>
      <c r="L86" s="22"/>
      <c r="M86" s="22"/>
      <c r="N86" s="22"/>
      <c r="O86" s="22"/>
      <c r="P86" s="22"/>
      <c r="Q86" s="22"/>
      <c r="R86" s="22"/>
      <c r="S86" s="22"/>
      <c r="T86" s="22"/>
      <c r="U86" s="22"/>
      <c r="V86" s="22"/>
      <c r="W86" s="22"/>
      <c r="X86" s="22"/>
      <c r="Y86" s="242"/>
      <c r="Z86" s="149"/>
      <c r="AA86" s="149"/>
      <c r="AB86" s="150"/>
      <c r="AC86" s="150"/>
      <c r="AD86" s="150"/>
      <c r="AE86" s="150"/>
    </row>
    <row r="87" spans="1:31" s="17" customFormat="1" ht="15" customHeight="1" x14ac:dyDescent="0.2">
      <c r="A87" s="280" t="s">
        <v>32</v>
      </c>
      <c r="B87" s="280"/>
      <c r="C87" s="280"/>
      <c r="D87" s="280"/>
      <c r="E87" s="280"/>
      <c r="F87" s="280"/>
      <c r="G87" s="280"/>
      <c r="H87" s="280"/>
      <c r="I87" s="280"/>
      <c r="J87" s="280"/>
      <c r="K87" s="280"/>
      <c r="L87" s="280"/>
      <c r="M87" s="280"/>
      <c r="N87" s="280"/>
      <c r="O87" s="280"/>
      <c r="P87" s="280"/>
      <c r="Q87" s="280"/>
      <c r="R87" s="280"/>
      <c r="S87" s="280"/>
      <c r="T87" s="280"/>
      <c r="U87" s="280"/>
      <c r="V87" s="280"/>
      <c r="W87" s="280"/>
      <c r="X87" s="280"/>
      <c r="Y87" s="242"/>
      <c r="Z87" s="149"/>
      <c r="AA87" s="149"/>
      <c r="AB87" s="150"/>
      <c r="AC87" s="150"/>
      <c r="AD87" s="150"/>
      <c r="AE87" s="150"/>
    </row>
    <row r="88" spans="1:31" s="17" customFormat="1" x14ac:dyDescent="0.2">
      <c r="A88" s="283"/>
      <c r="B88" s="283"/>
      <c r="C88" s="283"/>
      <c r="D88" s="283"/>
      <c r="E88" s="283"/>
      <c r="F88" s="283"/>
      <c r="G88" s="283"/>
      <c r="H88" s="283"/>
      <c r="I88" s="283"/>
      <c r="J88" s="283"/>
      <c r="K88" s="283"/>
      <c r="L88" s="283"/>
      <c r="M88" s="283"/>
      <c r="N88" s="283"/>
      <c r="O88" s="283"/>
      <c r="P88" s="283"/>
      <c r="Q88" s="283"/>
      <c r="R88" s="283"/>
      <c r="S88" s="283"/>
      <c r="T88" s="283"/>
      <c r="U88" s="283"/>
      <c r="V88" s="283"/>
      <c r="W88" s="283"/>
      <c r="X88" s="283"/>
      <c r="Y88" s="242"/>
      <c r="Z88" s="149"/>
      <c r="AA88" s="149"/>
      <c r="AB88" s="150"/>
      <c r="AC88" s="150"/>
      <c r="AD88" s="150"/>
      <c r="AE88" s="150"/>
    </row>
    <row r="89" spans="1:31" s="17" customFormat="1" ht="41.25" customHeight="1" x14ac:dyDescent="0.2">
      <c r="A89" s="274" t="s">
        <v>33</v>
      </c>
      <c r="B89" s="274"/>
      <c r="C89" s="274"/>
      <c r="D89" s="274"/>
      <c r="E89" s="274"/>
      <c r="F89" s="274"/>
      <c r="G89" s="274"/>
      <c r="H89" s="274"/>
      <c r="I89" s="274"/>
      <c r="J89" s="274"/>
      <c r="K89" s="274"/>
      <c r="L89" s="274"/>
      <c r="M89" s="274"/>
      <c r="N89" s="274"/>
      <c r="O89" s="274"/>
      <c r="P89" s="274"/>
      <c r="Q89" s="274"/>
      <c r="R89" s="274"/>
      <c r="S89" s="274"/>
      <c r="T89" s="274"/>
      <c r="U89" s="274"/>
      <c r="V89" s="274"/>
      <c r="W89" s="274"/>
      <c r="X89" s="274"/>
      <c r="Y89" s="242"/>
      <c r="Z89" s="149"/>
      <c r="AA89" s="149"/>
      <c r="AB89" s="150"/>
      <c r="AC89" s="150"/>
      <c r="AD89" s="150"/>
      <c r="AE89" s="150"/>
    </row>
    <row r="90" spans="1:31" s="17" customFormat="1" x14ac:dyDescent="0.2">
      <c r="A90" s="273"/>
      <c r="B90" s="273"/>
      <c r="C90" s="273"/>
      <c r="D90" s="273"/>
      <c r="E90" s="273"/>
      <c r="F90" s="273"/>
      <c r="G90" s="273"/>
      <c r="H90" s="273"/>
      <c r="I90" s="273"/>
      <c r="J90" s="273"/>
      <c r="K90" s="273"/>
      <c r="L90" s="273"/>
      <c r="M90" s="273"/>
      <c r="N90" s="273"/>
      <c r="O90" s="273"/>
      <c r="P90" s="273"/>
      <c r="Q90" s="273"/>
      <c r="R90" s="273"/>
      <c r="S90" s="273"/>
      <c r="T90" s="273"/>
      <c r="U90" s="273"/>
      <c r="V90" s="273"/>
      <c r="W90" s="273"/>
      <c r="X90" s="273"/>
      <c r="Y90" s="242"/>
      <c r="Z90" s="149"/>
      <c r="AA90" s="149"/>
      <c r="AB90" s="150"/>
      <c r="AC90" s="150"/>
      <c r="AD90" s="150"/>
      <c r="AE90" s="150"/>
    </row>
    <row r="91" spans="1:31" s="17" customFormat="1" ht="15" customHeight="1" x14ac:dyDescent="0.2">
      <c r="A91" s="275" t="s">
        <v>8</v>
      </c>
      <c r="B91" s="275"/>
      <c r="C91" s="275" t="s">
        <v>9</v>
      </c>
      <c r="D91" s="275"/>
      <c r="E91" s="295"/>
      <c r="F91" s="274" t="str">
        <f>"• I completed 15 credit hours of topic-specific continuing education during "&amp;TemplateYear&amp;"."</f>
        <v>• I completed 15 credit hours of topic-specific continuing education during 2021.</v>
      </c>
      <c r="G91" s="274"/>
      <c r="H91" s="274"/>
      <c r="I91" s="274"/>
      <c r="J91" s="274"/>
      <c r="K91" s="274"/>
      <c r="L91" s="274"/>
      <c r="M91" s="274"/>
      <c r="N91" s="274"/>
      <c r="O91" s="274"/>
      <c r="P91" s="274"/>
      <c r="Q91" s="274"/>
      <c r="R91" s="274"/>
      <c r="S91" s="274"/>
      <c r="T91" s="274"/>
      <c r="U91" s="274"/>
      <c r="V91" s="274"/>
      <c r="W91" s="274"/>
      <c r="X91" s="274"/>
      <c r="Y91" s="242"/>
      <c r="Z91" s="237" t="s">
        <v>244</v>
      </c>
      <c r="AA91" s="149"/>
      <c r="AB91" s="150"/>
      <c r="AC91" s="150"/>
      <c r="AD91" s="150"/>
      <c r="AE91" s="150"/>
    </row>
    <row r="92" spans="1:31" s="17" customFormat="1" ht="15" customHeight="1" x14ac:dyDescent="0.2">
      <c r="A92" s="275" t="s">
        <v>8</v>
      </c>
      <c r="B92" s="275"/>
      <c r="C92" s="275" t="s">
        <v>9</v>
      </c>
      <c r="D92" s="275"/>
      <c r="E92" s="295"/>
      <c r="F92" s="274" t="s">
        <v>260</v>
      </c>
      <c r="G92" s="274"/>
      <c r="H92" s="274"/>
      <c r="I92" s="274"/>
      <c r="J92" s="274"/>
      <c r="K92" s="274"/>
      <c r="L92" s="274"/>
      <c r="M92" s="274"/>
      <c r="N92" s="274"/>
      <c r="O92" s="274"/>
      <c r="P92" s="274"/>
      <c r="Q92" s="274"/>
      <c r="R92" s="274"/>
      <c r="S92" s="274"/>
      <c r="T92" s="274"/>
      <c r="U92" s="274"/>
      <c r="V92" s="274"/>
      <c r="W92" s="274"/>
      <c r="X92" s="274"/>
      <c r="Y92" s="242"/>
      <c r="Z92" s="237" t="s">
        <v>244</v>
      </c>
      <c r="AA92" s="149"/>
      <c r="AB92" s="150"/>
      <c r="AC92" s="150"/>
      <c r="AD92" s="150"/>
      <c r="AE92" s="150"/>
    </row>
    <row r="93" spans="1:31" s="17" customFormat="1" ht="12.75" customHeight="1" x14ac:dyDescent="0.2">
      <c r="A93" s="20"/>
      <c r="B93" s="16"/>
      <c r="C93" s="16"/>
      <c r="D93" s="22"/>
      <c r="E93" s="295"/>
      <c r="F93" s="274"/>
      <c r="G93" s="274"/>
      <c r="H93" s="274"/>
      <c r="I93" s="274"/>
      <c r="J93" s="274"/>
      <c r="K93" s="274"/>
      <c r="L93" s="274"/>
      <c r="M93" s="274"/>
      <c r="N93" s="274"/>
      <c r="O93" s="274"/>
      <c r="P93" s="274"/>
      <c r="Q93" s="274"/>
      <c r="R93" s="274"/>
      <c r="S93" s="274"/>
      <c r="T93" s="274"/>
      <c r="U93" s="274"/>
      <c r="V93" s="274"/>
      <c r="W93" s="274"/>
      <c r="X93" s="274"/>
      <c r="Y93" s="242"/>
      <c r="Z93" s="149"/>
      <c r="AA93" s="149"/>
      <c r="AB93" s="150"/>
      <c r="AC93" s="150"/>
      <c r="AD93" s="150"/>
      <c r="AE93" s="150"/>
    </row>
    <row r="94" spans="1:31" s="17" customFormat="1" x14ac:dyDescent="0.2">
      <c r="A94" s="26"/>
      <c r="B94" s="26"/>
      <c r="C94" s="26"/>
      <c r="D94" s="26"/>
      <c r="E94" s="26"/>
      <c r="F94" s="26"/>
      <c r="G94" s="26"/>
      <c r="H94" s="26"/>
      <c r="I94" s="26"/>
      <c r="J94" s="26"/>
      <c r="K94" s="26"/>
      <c r="L94" s="26"/>
      <c r="M94" s="26"/>
      <c r="N94" s="26"/>
      <c r="O94" s="26"/>
      <c r="P94" s="26"/>
      <c r="Q94" s="26"/>
      <c r="R94" s="26"/>
      <c r="S94" s="26"/>
      <c r="T94" s="26"/>
      <c r="U94" s="26"/>
      <c r="V94" s="26"/>
      <c r="W94" s="26"/>
      <c r="X94" s="26"/>
      <c r="Y94" s="242"/>
      <c r="Z94" s="149"/>
      <c r="AA94" s="149"/>
      <c r="AB94" s="150"/>
      <c r="AC94" s="150"/>
      <c r="AD94" s="150"/>
      <c r="AE94" s="150"/>
    </row>
    <row r="95" spans="1:31" s="27" customFormat="1" x14ac:dyDescent="0.2">
      <c r="A95" s="272" t="s">
        <v>34</v>
      </c>
      <c r="B95" s="272"/>
      <c r="C95" s="272"/>
      <c r="D95" s="272"/>
      <c r="E95" s="272"/>
      <c r="F95" s="272"/>
      <c r="G95" s="272"/>
      <c r="H95" s="272"/>
      <c r="I95" s="272"/>
      <c r="J95" s="272"/>
      <c r="K95" s="272"/>
      <c r="L95" s="272"/>
      <c r="M95" s="272"/>
      <c r="N95" s="272"/>
      <c r="O95" s="272"/>
      <c r="P95" s="272"/>
      <c r="Q95" s="273"/>
      <c r="R95" s="273"/>
      <c r="S95" s="273"/>
      <c r="T95" s="273"/>
      <c r="U95" s="273"/>
      <c r="V95" s="273"/>
      <c r="W95" s="273"/>
      <c r="X95" s="273"/>
      <c r="Y95" s="242"/>
      <c r="Z95" s="149"/>
      <c r="AA95" s="149"/>
      <c r="AB95" s="150"/>
      <c r="AC95" s="150"/>
      <c r="AD95" s="150"/>
      <c r="AE95" s="150"/>
    </row>
    <row r="96" spans="1:31" s="27" customFormat="1" x14ac:dyDescent="0.2">
      <c r="A96" s="28"/>
      <c r="B96" s="28"/>
      <c r="C96" s="28"/>
      <c r="D96" s="28"/>
      <c r="E96" s="28"/>
      <c r="F96" s="28"/>
      <c r="G96" s="28"/>
      <c r="H96" s="28"/>
      <c r="I96" s="28"/>
      <c r="J96" s="28"/>
      <c r="K96" s="28"/>
      <c r="L96" s="28"/>
      <c r="M96" s="28"/>
      <c r="N96" s="28"/>
      <c r="O96" s="28"/>
      <c r="P96" s="28"/>
      <c r="Q96" s="25"/>
      <c r="R96" s="25"/>
      <c r="S96" s="25"/>
      <c r="T96" s="25"/>
      <c r="U96" s="25"/>
      <c r="V96" s="25"/>
      <c r="W96" s="25"/>
      <c r="X96" s="25"/>
      <c r="Y96" s="242"/>
      <c r="Z96" s="149"/>
      <c r="AA96" s="149"/>
      <c r="AB96" s="150"/>
      <c r="AC96" s="150"/>
      <c r="AD96" s="150"/>
      <c r="AE96" s="150"/>
    </row>
    <row r="97" spans="1:31" s="27" customFormat="1" x14ac:dyDescent="0.2">
      <c r="A97" s="274" t="s">
        <v>35</v>
      </c>
      <c r="B97" s="274"/>
      <c r="C97" s="274"/>
      <c r="D97" s="274"/>
      <c r="E97" s="274"/>
      <c r="F97" s="274"/>
      <c r="G97" s="274"/>
      <c r="H97" s="274"/>
      <c r="I97" s="274"/>
      <c r="J97" s="274"/>
      <c r="K97" s="274"/>
      <c r="L97" s="274"/>
      <c r="M97" s="274"/>
      <c r="N97" s="274"/>
      <c r="O97" s="274"/>
      <c r="P97" s="274"/>
      <c r="Q97" s="274"/>
      <c r="R97" s="274"/>
      <c r="S97" s="274"/>
      <c r="T97" s="274"/>
      <c r="U97" s="274"/>
      <c r="V97" s="274"/>
      <c r="W97" s="274"/>
      <c r="X97" s="274"/>
      <c r="Y97" s="242"/>
      <c r="Z97" s="149"/>
      <c r="AA97" s="149"/>
      <c r="AB97" s="150"/>
      <c r="AC97" s="150"/>
      <c r="AD97" s="150"/>
      <c r="AE97" s="150"/>
    </row>
    <row r="98" spans="1:31" s="27" customFormat="1" x14ac:dyDescent="0.2">
      <c r="A98" s="29"/>
      <c r="B98" s="29"/>
      <c r="C98" s="29"/>
      <c r="D98" s="29"/>
      <c r="E98" s="29"/>
      <c r="F98" s="29"/>
      <c r="G98" s="29"/>
      <c r="H98" s="29"/>
      <c r="I98" s="29"/>
      <c r="J98" s="29"/>
      <c r="K98" s="29"/>
      <c r="L98" s="29"/>
      <c r="M98" s="29"/>
      <c r="N98" s="29"/>
      <c r="O98" s="29"/>
      <c r="P98" s="29"/>
      <c r="Q98" s="29"/>
      <c r="R98" s="29"/>
      <c r="S98" s="29"/>
      <c r="T98" s="29"/>
      <c r="U98" s="29"/>
      <c r="V98" s="29"/>
      <c r="W98" s="29"/>
      <c r="X98" s="29"/>
      <c r="Y98" s="242"/>
      <c r="Z98" s="149"/>
      <c r="AA98" s="149"/>
      <c r="AB98" s="150"/>
      <c r="AC98" s="150"/>
      <c r="AD98" s="150"/>
      <c r="AE98" s="150"/>
    </row>
    <row r="99" spans="1:31" s="27" customFormat="1" ht="46.5" customHeight="1" x14ac:dyDescent="0.2">
      <c r="A99" s="29"/>
      <c r="B99" s="274" t="s">
        <v>36</v>
      </c>
      <c r="C99" s="274"/>
      <c r="D99" s="274"/>
      <c r="E99" s="274"/>
      <c r="F99" s="274"/>
      <c r="G99" s="274"/>
      <c r="H99" s="274"/>
      <c r="I99" s="274"/>
      <c r="J99" s="274"/>
      <c r="K99" s="274"/>
      <c r="L99" s="274"/>
      <c r="M99" s="274"/>
      <c r="N99" s="274"/>
      <c r="O99" s="274"/>
      <c r="P99" s="274"/>
      <c r="Q99" s="274"/>
      <c r="R99" s="274"/>
      <c r="S99" s="274"/>
      <c r="T99" s="274"/>
      <c r="U99" s="274"/>
      <c r="V99" s="274"/>
      <c r="W99" s="274"/>
      <c r="X99" s="274"/>
      <c r="Y99" s="242"/>
      <c r="Z99" s="149"/>
      <c r="AA99" s="149"/>
      <c r="AB99" s="150"/>
      <c r="AC99" s="150"/>
      <c r="AD99" s="150"/>
      <c r="AE99" s="150"/>
    </row>
    <row r="100" spans="1:31" s="27" customFormat="1" x14ac:dyDescent="0.2">
      <c r="A100" s="275" t="s">
        <v>37</v>
      </c>
      <c r="B100" s="275"/>
      <c r="C100" s="275" t="s">
        <v>9</v>
      </c>
      <c r="D100" s="275"/>
      <c r="E100" s="25"/>
      <c r="F100" s="274" t="s">
        <v>25</v>
      </c>
      <c r="G100" s="274"/>
      <c r="H100" s="274"/>
      <c r="I100" s="274"/>
      <c r="J100" s="274"/>
      <c r="K100" s="274"/>
      <c r="L100" s="274"/>
      <c r="M100" s="274"/>
      <c r="N100" s="274"/>
      <c r="O100" s="274"/>
      <c r="P100" s="274"/>
      <c r="Q100" s="274"/>
      <c r="R100" s="274"/>
      <c r="S100" s="274"/>
      <c r="T100" s="274"/>
      <c r="U100" s="274"/>
      <c r="V100" s="274"/>
      <c r="W100" s="274"/>
      <c r="X100" s="274"/>
      <c r="Y100" s="242"/>
      <c r="Z100" s="237" t="s">
        <v>244</v>
      </c>
      <c r="AA100" s="149"/>
      <c r="AB100" s="150"/>
      <c r="AC100" s="150"/>
      <c r="AD100" s="150"/>
      <c r="AE100" s="150"/>
    </row>
    <row r="101" spans="1:31" s="27" customFormat="1" x14ac:dyDescent="0.2">
      <c r="A101" s="30"/>
      <c r="B101" s="30"/>
      <c r="C101" s="30"/>
      <c r="D101" s="30"/>
      <c r="E101" s="25"/>
      <c r="F101" s="274"/>
      <c r="G101" s="274"/>
      <c r="H101" s="274"/>
      <c r="I101" s="274"/>
      <c r="J101" s="274"/>
      <c r="K101" s="274"/>
      <c r="L101" s="274"/>
      <c r="M101" s="274"/>
      <c r="N101" s="274"/>
      <c r="O101" s="274"/>
      <c r="P101" s="274"/>
      <c r="Q101" s="274"/>
      <c r="R101" s="274"/>
      <c r="S101" s="274"/>
      <c r="T101" s="274"/>
      <c r="U101" s="274"/>
      <c r="V101" s="274"/>
      <c r="W101" s="274"/>
      <c r="X101" s="274"/>
      <c r="Y101" s="242"/>
    </row>
    <row r="102" spans="1:31" s="17" customFormat="1" x14ac:dyDescent="0.2">
      <c r="A102" s="285"/>
      <c r="B102" s="285"/>
      <c r="C102" s="285"/>
      <c r="D102" s="285"/>
      <c r="E102" s="285"/>
      <c r="F102" s="285"/>
      <c r="G102" s="285"/>
      <c r="H102" s="285"/>
      <c r="I102" s="285"/>
      <c r="J102" s="285"/>
      <c r="K102" s="285"/>
      <c r="L102" s="285"/>
      <c r="M102" s="285"/>
      <c r="N102" s="285"/>
      <c r="O102" s="285"/>
      <c r="P102" s="285"/>
      <c r="Q102" s="285"/>
      <c r="R102" s="285"/>
      <c r="S102" s="285"/>
      <c r="T102" s="285"/>
      <c r="U102" s="285"/>
      <c r="V102" s="285"/>
      <c r="W102" s="285"/>
      <c r="X102" s="285"/>
      <c r="Y102" s="242"/>
    </row>
    <row r="103" spans="1:31" s="17" customFormat="1" x14ac:dyDescent="0.2">
      <c r="A103" s="282" t="s">
        <v>38</v>
      </c>
      <c r="B103" s="282"/>
      <c r="C103" s="282"/>
      <c r="D103" s="282"/>
      <c r="E103" s="282"/>
      <c r="F103" s="282"/>
      <c r="G103" s="282"/>
      <c r="H103" s="282"/>
      <c r="I103" s="282"/>
      <c r="J103" s="282"/>
      <c r="K103" s="282"/>
      <c r="L103" s="282"/>
      <c r="M103" s="282"/>
      <c r="N103" s="282"/>
      <c r="O103" s="282"/>
      <c r="P103" s="282"/>
      <c r="Q103" s="283"/>
      <c r="R103" s="283"/>
      <c r="S103" s="283"/>
      <c r="T103" s="283"/>
      <c r="U103" s="283"/>
      <c r="V103" s="283"/>
      <c r="W103" s="283"/>
      <c r="X103" s="283"/>
      <c r="Y103" s="242"/>
    </row>
    <row r="104" spans="1:31" s="17" customFormat="1" x14ac:dyDescent="0.2">
      <c r="A104" s="19"/>
      <c r="B104" s="19"/>
      <c r="C104" s="19"/>
      <c r="D104" s="19"/>
      <c r="E104" s="19"/>
      <c r="F104" s="19"/>
      <c r="G104" s="19"/>
      <c r="H104" s="19"/>
      <c r="I104" s="19"/>
      <c r="J104" s="19"/>
      <c r="K104" s="19"/>
      <c r="L104" s="19"/>
      <c r="M104" s="19"/>
      <c r="N104" s="19"/>
      <c r="O104" s="19"/>
      <c r="P104" s="19"/>
      <c r="Q104" s="18"/>
      <c r="R104" s="18"/>
      <c r="S104" s="18"/>
      <c r="T104" s="18"/>
      <c r="U104" s="18"/>
      <c r="V104" s="18"/>
      <c r="W104" s="18"/>
      <c r="X104" s="18"/>
      <c r="Y104" s="242"/>
    </row>
    <row r="105" spans="1:31" s="17" customFormat="1" ht="27" customHeight="1" x14ac:dyDescent="0.2">
      <c r="A105" s="274" t="s">
        <v>39</v>
      </c>
      <c r="B105" s="274"/>
      <c r="C105" s="274"/>
      <c r="D105" s="274"/>
      <c r="E105" s="274"/>
      <c r="F105" s="274"/>
      <c r="G105" s="274"/>
      <c r="H105" s="274"/>
      <c r="I105" s="274"/>
      <c r="J105" s="274"/>
      <c r="K105" s="274"/>
      <c r="L105" s="274"/>
      <c r="M105" s="274"/>
      <c r="N105" s="274"/>
      <c r="O105" s="274"/>
      <c r="P105" s="274"/>
      <c r="Q105" s="274"/>
      <c r="R105" s="274"/>
      <c r="S105" s="274"/>
      <c r="T105" s="274"/>
      <c r="U105" s="274"/>
      <c r="V105" s="274"/>
      <c r="W105" s="274"/>
      <c r="X105" s="274"/>
      <c r="Y105" s="242"/>
    </row>
    <row r="106" spans="1:31" s="17" customFormat="1" x14ac:dyDescent="0.2">
      <c r="A106" s="9"/>
      <c r="B106" s="9"/>
      <c r="C106" s="9"/>
      <c r="D106" s="9"/>
      <c r="E106" s="9"/>
      <c r="F106" s="9"/>
      <c r="G106" s="9"/>
      <c r="H106" s="9"/>
      <c r="I106" s="9"/>
      <c r="J106" s="9"/>
      <c r="K106" s="9"/>
      <c r="L106" s="9"/>
      <c r="M106" s="9"/>
      <c r="N106" s="9"/>
      <c r="O106" s="9"/>
      <c r="P106" s="9"/>
      <c r="Q106" s="9"/>
      <c r="R106" s="9"/>
      <c r="S106" s="9"/>
      <c r="T106" s="9"/>
      <c r="U106" s="9"/>
      <c r="V106" s="9"/>
      <c r="W106" s="9"/>
      <c r="X106" s="9"/>
      <c r="Y106" s="242"/>
    </row>
    <row r="107" spans="1:31" s="17" customFormat="1" x14ac:dyDescent="0.2">
      <c r="A107" s="9"/>
      <c r="B107" s="31"/>
      <c r="C107" s="270"/>
      <c r="D107" s="270"/>
      <c r="E107" s="270"/>
      <c r="F107" s="270"/>
      <c r="G107" s="270"/>
      <c r="H107" s="270"/>
      <c r="I107" s="270"/>
      <c r="J107" s="31"/>
      <c r="K107" s="31"/>
      <c r="L107" s="271"/>
      <c r="M107" s="271"/>
      <c r="N107" s="271"/>
      <c r="O107" s="271"/>
      <c r="P107" s="271"/>
      <c r="Q107" s="9"/>
      <c r="R107" s="9"/>
      <c r="S107" s="9"/>
      <c r="T107" s="9"/>
      <c r="U107" s="9"/>
      <c r="V107" s="9"/>
      <c r="W107" s="9"/>
      <c r="X107" s="9"/>
      <c r="Y107" s="242"/>
      <c r="Z107" s="236" t="s">
        <v>58</v>
      </c>
    </row>
    <row r="108" spans="1:31" s="17" customFormat="1" x14ac:dyDescent="0.2">
      <c r="A108" s="9"/>
      <c r="B108" s="18"/>
      <c r="C108" s="276" t="s">
        <v>136</v>
      </c>
      <c r="D108" s="276"/>
      <c r="E108" s="276"/>
      <c r="F108" s="276"/>
      <c r="G108" s="276"/>
      <c r="H108" s="276"/>
      <c r="I108" s="276"/>
      <c r="J108" s="31"/>
      <c r="K108" s="31"/>
      <c r="L108" s="72" t="s">
        <v>0</v>
      </c>
      <c r="M108" s="18"/>
      <c r="N108" s="18"/>
      <c r="O108" s="18"/>
      <c r="P108" s="18"/>
      <c r="Q108" s="9"/>
      <c r="R108" s="9"/>
      <c r="S108" s="9"/>
      <c r="T108" s="9"/>
      <c r="U108" s="9"/>
      <c r="V108" s="9"/>
      <c r="W108" s="9"/>
      <c r="X108" s="9"/>
      <c r="Y108" s="242"/>
      <c r="Z108" s="269" t="str">
        <f>"Please type your name and enter the date, and complete Humana's tracking report '"&amp;TemplateYear&amp;" CE Credits' before submitting this file to your reviewer."</f>
        <v>Please type your name and enter the date, and complete Humana's tracking report '2021 CE Credits' before submitting this file to your reviewer.</v>
      </c>
      <c r="AA108" s="269"/>
      <c r="AB108" s="269"/>
      <c r="AC108" s="269"/>
      <c r="AD108" s="269"/>
      <c r="AE108" s="269"/>
    </row>
    <row r="109" spans="1:31" s="17" customFormat="1" x14ac:dyDescent="0.2">
      <c r="A109" s="19"/>
      <c r="B109" s="18"/>
      <c r="C109" s="277"/>
      <c r="D109" s="277"/>
      <c r="E109" s="277"/>
      <c r="F109" s="277"/>
      <c r="G109" s="277"/>
      <c r="H109" s="277"/>
      <c r="I109" s="277"/>
      <c r="J109" s="18"/>
      <c r="K109" s="18"/>
      <c r="L109" s="18"/>
      <c r="M109" s="18"/>
      <c r="N109" s="18"/>
      <c r="O109" s="18"/>
      <c r="P109" s="18"/>
      <c r="Q109" s="18"/>
      <c r="R109" s="18"/>
      <c r="S109" s="18"/>
      <c r="T109" s="18"/>
      <c r="U109" s="18"/>
      <c r="V109" s="18"/>
      <c r="W109" s="18"/>
      <c r="X109" s="18"/>
      <c r="Y109" s="242"/>
      <c r="Z109" s="269"/>
      <c r="AA109" s="269"/>
      <c r="AB109" s="269"/>
      <c r="AC109" s="269"/>
      <c r="AD109" s="269"/>
      <c r="AE109" s="269"/>
    </row>
    <row r="110" spans="1:31" s="17" customFormat="1" x14ac:dyDescent="0.2">
      <c r="A110" s="290"/>
      <c r="B110" s="290"/>
      <c r="C110" s="290"/>
      <c r="D110" s="290"/>
      <c r="E110" s="290"/>
      <c r="F110" s="290"/>
      <c r="G110" s="290"/>
      <c r="H110" s="290"/>
      <c r="I110" s="290"/>
      <c r="J110" s="290"/>
      <c r="K110" s="290"/>
      <c r="L110" s="290"/>
      <c r="M110" s="290"/>
      <c r="N110" s="290"/>
      <c r="O110" s="290"/>
      <c r="P110" s="290"/>
      <c r="Q110" s="290"/>
      <c r="R110" s="290"/>
      <c r="S110" s="290"/>
      <c r="T110" s="290"/>
      <c r="U110" s="290"/>
      <c r="V110" s="290"/>
      <c r="W110" s="290"/>
      <c r="X110" s="290"/>
      <c r="Y110" s="242"/>
      <c r="Z110" s="269"/>
      <c r="AA110" s="269"/>
      <c r="AB110" s="269"/>
      <c r="AC110" s="269"/>
      <c r="AD110" s="269"/>
      <c r="AE110" s="269"/>
    </row>
    <row r="111" spans="1:31" s="17" customFormat="1" x14ac:dyDescent="0.2">
      <c r="A111" s="282"/>
      <c r="B111" s="282"/>
      <c r="C111" s="282"/>
      <c r="D111" s="282"/>
      <c r="E111" s="282"/>
      <c r="F111" s="282"/>
      <c r="G111" s="282"/>
      <c r="H111" s="282"/>
      <c r="I111" s="282"/>
      <c r="J111" s="282"/>
      <c r="K111" s="282"/>
      <c r="L111" s="282"/>
      <c r="M111" s="282"/>
      <c r="N111" s="282"/>
      <c r="O111" s="282"/>
      <c r="P111" s="282"/>
      <c r="Q111" s="283"/>
      <c r="R111" s="283"/>
      <c r="S111" s="283"/>
      <c r="T111" s="283"/>
      <c r="U111" s="283"/>
      <c r="V111" s="283"/>
      <c r="W111" s="283"/>
      <c r="X111" s="283"/>
      <c r="Y111" s="242"/>
    </row>
    <row r="112" spans="1:31" s="17" customFormat="1" x14ac:dyDescent="0.2">
      <c r="A112" s="282"/>
      <c r="B112" s="282"/>
      <c r="C112" s="282"/>
      <c r="D112" s="282"/>
      <c r="E112" s="282"/>
      <c r="F112" s="282"/>
      <c r="G112" s="282"/>
      <c r="H112" s="282"/>
      <c r="I112" s="282"/>
      <c r="J112" s="282"/>
      <c r="K112" s="282"/>
      <c r="L112" s="282"/>
      <c r="M112" s="282"/>
      <c r="N112" s="282"/>
      <c r="O112" s="282"/>
      <c r="P112" s="282"/>
      <c r="Q112" s="283"/>
      <c r="R112" s="283"/>
      <c r="S112" s="283"/>
      <c r="T112" s="283"/>
      <c r="U112" s="283"/>
      <c r="V112" s="283"/>
      <c r="W112" s="283"/>
      <c r="X112" s="283"/>
      <c r="Y112" s="242"/>
    </row>
    <row r="113" spans="1:27" s="17" customFormat="1" x14ac:dyDescent="0.2">
      <c r="A113" s="285" t="s">
        <v>40</v>
      </c>
      <c r="B113" s="285"/>
      <c r="C113" s="285"/>
      <c r="D113" s="285"/>
      <c r="E113" s="285"/>
      <c r="F113" s="285"/>
      <c r="G113" s="285"/>
      <c r="H113" s="285"/>
      <c r="I113" s="285"/>
      <c r="J113" s="285"/>
      <c r="K113" s="285"/>
      <c r="L113" s="285"/>
      <c r="M113" s="285"/>
      <c r="N113" s="285"/>
      <c r="O113" s="285"/>
      <c r="P113" s="285"/>
      <c r="Q113" s="285"/>
      <c r="R113" s="285"/>
      <c r="S113" s="285"/>
      <c r="T113" s="285"/>
      <c r="U113" s="285"/>
      <c r="V113" s="285"/>
      <c r="W113" s="285"/>
      <c r="X113" s="285"/>
      <c r="Y113" s="242"/>
    </row>
    <row r="114" spans="1:27" s="17" customFormat="1" x14ac:dyDescent="0.2">
      <c r="A114" s="285"/>
      <c r="B114" s="285"/>
      <c r="C114" s="285"/>
      <c r="D114" s="285"/>
      <c r="E114" s="285"/>
      <c r="F114" s="285"/>
      <c r="G114" s="285"/>
      <c r="H114" s="285"/>
      <c r="I114" s="285"/>
      <c r="J114" s="285"/>
      <c r="K114" s="285"/>
      <c r="L114" s="285"/>
      <c r="M114" s="285"/>
      <c r="N114" s="285"/>
      <c r="O114" s="285"/>
      <c r="P114" s="285"/>
      <c r="Q114" s="285"/>
      <c r="R114" s="285"/>
      <c r="S114" s="285"/>
      <c r="T114" s="285"/>
      <c r="U114" s="285"/>
      <c r="V114" s="285"/>
      <c r="W114" s="285"/>
      <c r="X114" s="285"/>
      <c r="Y114" s="242"/>
    </row>
    <row r="115" spans="1:27" s="27" customFormat="1" x14ac:dyDescent="0.2">
      <c r="A115" s="275" t="s">
        <v>37</v>
      </c>
      <c r="B115" s="275"/>
      <c r="C115" s="275" t="s">
        <v>9</v>
      </c>
      <c r="D115" s="275"/>
      <c r="E115" s="151"/>
      <c r="F115" s="274" t="s">
        <v>261</v>
      </c>
      <c r="G115" s="274"/>
      <c r="H115" s="274"/>
      <c r="I115" s="274"/>
      <c r="J115" s="274"/>
      <c r="K115" s="274"/>
      <c r="L115" s="274"/>
      <c r="M115" s="274"/>
      <c r="N115" s="274"/>
      <c r="O115" s="274"/>
      <c r="P115" s="274"/>
      <c r="Q115" s="274"/>
      <c r="R115" s="274"/>
      <c r="S115" s="274"/>
      <c r="T115" s="274"/>
      <c r="U115" s="274"/>
      <c r="V115" s="274"/>
      <c r="W115" s="274"/>
      <c r="X115" s="274"/>
      <c r="Y115" s="242"/>
    </row>
    <row r="116" spans="1:27" s="27" customFormat="1" x14ac:dyDescent="0.2">
      <c r="A116" s="147"/>
      <c r="B116" s="147"/>
      <c r="C116" s="147"/>
      <c r="D116" s="147"/>
      <c r="E116" s="151"/>
      <c r="F116" s="274"/>
      <c r="G116" s="274"/>
      <c r="H116" s="274"/>
      <c r="I116" s="274"/>
      <c r="J116" s="274"/>
      <c r="K116" s="274"/>
      <c r="L116" s="274"/>
      <c r="M116" s="274"/>
      <c r="N116" s="274"/>
      <c r="O116" s="274"/>
      <c r="P116" s="274"/>
      <c r="Q116" s="274"/>
      <c r="R116" s="274"/>
      <c r="S116" s="274"/>
      <c r="T116" s="274"/>
      <c r="U116" s="274"/>
      <c r="V116" s="274"/>
      <c r="W116" s="274"/>
      <c r="X116" s="274"/>
      <c r="Y116" s="242"/>
    </row>
    <row r="117" spans="1:27" ht="12.75" customHeight="1" x14ac:dyDescent="0.2">
      <c r="A117" s="13"/>
      <c r="B117" s="6"/>
      <c r="C117" s="5"/>
      <c r="D117" s="5"/>
      <c r="E117" s="5"/>
      <c r="F117" s="5"/>
      <c r="G117" s="5"/>
      <c r="H117" s="5"/>
      <c r="I117" s="5"/>
      <c r="J117" s="5"/>
      <c r="K117" s="5"/>
      <c r="L117" s="5"/>
      <c r="M117" s="5"/>
      <c r="N117" s="5"/>
      <c r="O117" s="5"/>
      <c r="P117" s="5"/>
      <c r="Q117" s="5"/>
      <c r="R117" s="5"/>
      <c r="S117" s="5"/>
      <c r="T117" s="14"/>
      <c r="U117" s="14"/>
      <c r="V117" s="14"/>
      <c r="W117" s="14"/>
      <c r="X117" s="14"/>
      <c r="Y117" s="244"/>
    </row>
    <row r="118" spans="1:27" s="17" customFormat="1" ht="23.25" customHeight="1" x14ac:dyDescent="0.2">
      <c r="A118" s="287" t="s">
        <v>41</v>
      </c>
      <c r="B118" s="288"/>
      <c r="C118" s="288"/>
      <c r="D118" s="288"/>
      <c r="E118" s="288"/>
      <c r="F118" s="288"/>
      <c r="G118" s="288"/>
      <c r="H118" s="288"/>
      <c r="I118" s="288"/>
      <c r="J118" s="288"/>
      <c r="K118" s="288"/>
      <c r="L118" s="288"/>
      <c r="M118" s="288"/>
      <c r="N118" s="288"/>
      <c r="O118" s="288"/>
      <c r="P118" s="288"/>
      <c r="Q118" s="288"/>
      <c r="R118" s="288"/>
      <c r="S118" s="288"/>
      <c r="T118" s="288"/>
      <c r="U118" s="288"/>
      <c r="V118" s="288"/>
      <c r="W118" s="288"/>
      <c r="X118" s="288"/>
      <c r="Y118" s="242"/>
    </row>
    <row r="119" spans="1:27" s="17" customFormat="1" ht="12.75" customHeight="1" x14ac:dyDescent="0.2">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242"/>
    </row>
    <row r="120" spans="1:27" s="17" customFormat="1" x14ac:dyDescent="0.2">
      <c r="A120" s="32" t="s">
        <v>42</v>
      </c>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242"/>
    </row>
    <row r="121" spans="1:27" s="17" customFormat="1" x14ac:dyDescent="0.2">
      <c r="A121" s="19" t="s">
        <v>43</v>
      </c>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242"/>
    </row>
    <row r="122" spans="1:27" s="17" customFormat="1" x14ac:dyDescent="0.2">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242"/>
    </row>
    <row r="123" spans="1:27" s="17" customFormat="1" ht="56.25" customHeight="1" x14ac:dyDescent="0.2">
      <c r="A123" s="289" t="s">
        <v>44</v>
      </c>
      <c r="B123" s="289"/>
      <c r="C123" s="289"/>
      <c r="D123" s="289"/>
      <c r="E123" s="289"/>
      <c r="F123" s="289"/>
      <c r="G123" s="289"/>
      <c r="H123" s="289"/>
      <c r="I123" s="289"/>
      <c r="J123" s="289"/>
      <c r="K123" s="289"/>
      <c r="L123" s="289"/>
      <c r="M123" s="289"/>
      <c r="N123" s="289"/>
      <c r="O123" s="289"/>
      <c r="P123" s="289"/>
      <c r="Q123" s="289"/>
      <c r="R123" s="289"/>
      <c r="S123" s="289"/>
      <c r="T123" s="289"/>
      <c r="U123" s="289"/>
      <c r="V123" s="289"/>
      <c r="W123" s="289"/>
      <c r="X123" s="289"/>
      <c r="Y123" s="242"/>
    </row>
    <row r="124" spans="1:27" x14ac:dyDescent="0.2">
      <c r="A124" s="33"/>
      <c r="B124" s="33"/>
      <c r="C124" s="33"/>
      <c r="D124" s="33"/>
      <c r="E124" s="33"/>
      <c r="F124" s="33"/>
      <c r="G124" s="33"/>
      <c r="H124" s="33"/>
      <c r="I124" s="33"/>
      <c r="J124" s="33"/>
      <c r="K124" s="33"/>
      <c r="L124" s="33"/>
      <c r="M124" s="33"/>
      <c r="N124" s="33"/>
      <c r="O124" s="33"/>
      <c r="P124" s="33"/>
      <c r="Q124" s="33"/>
      <c r="R124" s="33"/>
      <c r="S124" s="33"/>
      <c r="T124" s="33"/>
      <c r="U124" s="33"/>
      <c r="V124" s="33"/>
      <c r="W124" s="33"/>
      <c r="X124" s="33"/>
    </row>
    <row r="125" spans="1:27" s="17" customFormat="1" ht="36.950000000000003" customHeight="1" x14ac:dyDescent="0.2">
      <c r="A125" s="289" t="s">
        <v>45</v>
      </c>
      <c r="B125" s="282"/>
      <c r="C125" s="282"/>
      <c r="D125" s="282"/>
      <c r="E125" s="282"/>
      <c r="F125" s="282"/>
      <c r="G125" s="282"/>
      <c r="H125" s="282"/>
      <c r="I125" s="282"/>
      <c r="J125" s="282"/>
      <c r="K125" s="282"/>
      <c r="L125" s="282"/>
      <c r="M125" s="282"/>
      <c r="N125" s="282"/>
      <c r="O125" s="282"/>
      <c r="P125" s="282"/>
      <c r="Q125" s="282"/>
      <c r="R125" s="282"/>
      <c r="S125" s="282"/>
      <c r="T125" s="282"/>
      <c r="U125" s="282"/>
      <c r="V125" s="282"/>
      <c r="W125" s="282"/>
      <c r="X125" s="282"/>
      <c r="Y125" s="245"/>
      <c r="Z125" s="31"/>
      <c r="AA125" s="31"/>
    </row>
    <row r="126" spans="1:27" s="17" customFormat="1" x14ac:dyDescent="0.2">
      <c r="A126" s="34"/>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245"/>
      <c r="Z126" s="31"/>
      <c r="AA126" s="31"/>
    </row>
    <row r="127" spans="1:27" s="17" customFormat="1" ht="39.950000000000003" customHeight="1" x14ac:dyDescent="0.2">
      <c r="A127" s="289" t="s">
        <v>46</v>
      </c>
      <c r="B127" s="289"/>
      <c r="C127" s="289"/>
      <c r="D127" s="289"/>
      <c r="E127" s="289"/>
      <c r="F127" s="289"/>
      <c r="G127" s="289"/>
      <c r="H127" s="289"/>
      <c r="I127" s="289"/>
      <c r="J127" s="289"/>
      <c r="K127" s="289"/>
      <c r="L127" s="289"/>
      <c r="M127" s="289"/>
      <c r="N127" s="289"/>
      <c r="O127" s="289"/>
      <c r="P127" s="289"/>
      <c r="Q127" s="289"/>
      <c r="R127" s="289"/>
      <c r="S127" s="289"/>
      <c r="T127" s="289"/>
      <c r="U127" s="289"/>
      <c r="V127" s="289"/>
      <c r="W127" s="289"/>
      <c r="X127" s="289"/>
      <c r="Y127" s="245"/>
      <c r="Z127" s="31"/>
      <c r="AA127" s="31"/>
    </row>
    <row r="128" spans="1:27" s="17" customFormat="1" x14ac:dyDescent="0.2">
      <c r="A128" s="34"/>
      <c r="B128" s="34"/>
      <c r="C128" s="34"/>
      <c r="D128" s="34"/>
      <c r="E128" s="34"/>
      <c r="F128" s="34"/>
      <c r="G128" s="34"/>
      <c r="H128" s="34"/>
      <c r="I128" s="34"/>
      <c r="J128" s="34"/>
      <c r="K128" s="34"/>
      <c r="L128" s="34"/>
      <c r="M128" s="34"/>
      <c r="N128" s="34"/>
      <c r="O128" s="34"/>
      <c r="P128" s="34"/>
      <c r="Q128" s="34"/>
      <c r="R128" s="34"/>
      <c r="S128" s="34"/>
      <c r="T128" s="34"/>
      <c r="U128" s="34"/>
      <c r="V128" s="34"/>
      <c r="W128" s="34"/>
      <c r="X128" s="34"/>
      <c r="Y128" s="245"/>
      <c r="Z128" s="31"/>
      <c r="AA128" s="31"/>
    </row>
    <row r="129" spans="1:27" s="17" customFormat="1" ht="30" customHeight="1" x14ac:dyDescent="0.2">
      <c r="A129" s="289" t="s">
        <v>47</v>
      </c>
      <c r="B129" s="289"/>
      <c r="C129" s="289"/>
      <c r="D129" s="289"/>
      <c r="E129" s="289"/>
      <c r="F129" s="289"/>
      <c r="G129" s="289"/>
      <c r="H129" s="289"/>
      <c r="I129" s="289"/>
      <c r="J129" s="289"/>
      <c r="K129" s="289"/>
      <c r="L129" s="289"/>
      <c r="M129" s="289"/>
      <c r="N129" s="289"/>
      <c r="O129" s="289"/>
      <c r="P129" s="289"/>
      <c r="Q129" s="289"/>
      <c r="R129" s="289"/>
      <c r="S129" s="289"/>
      <c r="T129" s="289"/>
      <c r="U129" s="289"/>
      <c r="V129" s="289"/>
      <c r="W129" s="289"/>
      <c r="X129" s="289"/>
      <c r="Y129" s="245"/>
      <c r="Z129" s="31"/>
      <c r="AA129" s="31"/>
    </row>
    <row r="130" spans="1:27" s="17" customFormat="1" ht="14.25" customHeight="1" x14ac:dyDescent="0.2">
      <c r="A130" s="34"/>
      <c r="B130" s="34"/>
      <c r="C130" s="34"/>
      <c r="D130" s="34"/>
      <c r="E130" s="34"/>
      <c r="F130" s="34"/>
      <c r="G130" s="34"/>
      <c r="H130" s="34"/>
      <c r="I130" s="34"/>
      <c r="J130" s="34"/>
      <c r="K130" s="34"/>
      <c r="L130" s="34"/>
      <c r="M130" s="34"/>
      <c r="N130" s="34"/>
      <c r="O130" s="34"/>
      <c r="P130" s="34"/>
      <c r="Q130" s="34"/>
      <c r="R130" s="34"/>
      <c r="S130" s="34"/>
      <c r="T130" s="34"/>
      <c r="U130" s="34"/>
      <c r="V130" s="34"/>
      <c r="W130" s="34"/>
      <c r="X130" s="34"/>
      <c r="Y130" s="245"/>
      <c r="Z130" s="31"/>
      <c r="AA130" s="31"/>
    </row>
    <row r="131" spans="1:27" s="17" customFormat="1" ht="28.5" customHeight="1" x14ac:dyDescent="0.2">
      <c r="A131" s="289" t="s">
        <v>48</v>
      </c>
      <c r="B131" s="289"/>
      <c r="C131" s="289"/>
      <c r="D131" s="289"/>
      <c r="E131" s="289"/>
      <c r="F131" s="289"/>
      <c r="G131" s="289"/>
      <c r="H131" s="289"/>
      <c r="I131" s="289"/>
      <c r="J131" s="289"/>
      <c r="K131" s="289"/>
      <c r="L131" s="289"/>
      <c r="M131" s="289"/>
      <c r="N131" s="289"/>
      <c r="O131" s="289"/>
      <c r="P131" s="289"/>
      <c r="Q131" s="289"/>
      <c r="R131" s="289"/>
      <c r="S131" s="289"/>
      <c r="T131" s="289"/>
      <c r="U131" s="289"/>
      <c r="V131" s="289"/>
      <c r="W131" s="289"/>
      <c r="X131" s="289"/>
      <c r="Y131" s="245"/>
      <c r="Z131" s="31"/>
      <c r="AA131" s="31"/>
    </row>
    <row r="132" spans="1:27" s="17" customFormat="1" ht="14.25" customHeight="1" x14ac:dyDescent="0.2">
      <c r="A132" s="32" t="s">
        <v>49</v>
      </c>
      <c r="B132" s="34"/>
      <c r="C132" s="34"/>
      <c r="D132" s="34"/>
      <c r="E132" s="34"/>
      <c r="F132" s="34"/>
      <c r="G132" s="34"/>
      <c r="H132" s="34"/>
      <c r="I132" s="34"/>
      <c r="J132" s="34"/>
      <c r="K132" s="34"/>
      <c r="L132" s="34"/>
      <c r="M132" s="34"/>
      <c r="N132" s="34"/>
      <c r="O132" s="34"/>
      <c r="P132" s="34"/>
      <c r="Q132" s="34"/>
      <c r="R132" s="34"/>
      <c r="S132" s="34"/>
      <c r="T132" s="34"/>
      <c r="U132" s="34"/>
      <c r="V132" s="34"/>
      <c r="W132" s="34"/>
      <c r="X132" s="34"/>
      <c r="Y132" s="245"/>
      <c r="Z132" s="31"/>
      <c r="AA132" s="31"/>
    </row>
    <row r="133" spans="1:27" ht="6.75" customHeight="1" x14ac:dyDescent="0.2">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row>
    <row r="134" spans="1:27" ht="51.75" customHeight="1" x14ac:dyDescent="0.2">
      <c r="A134" s="35" t="s">
        <v>50</v>
      </c>
      <c r="B134" s="286" t="s">
        <v>51</v>
      </c>
      <c r="C134" s="286"/>
      <c r="D134" s="286"/>
      <c r="E134" s="286"/>
      <c r="F134" s="286"/>
      <c r="G134" s="286"/>
      <c r="H134" s="286"/>
      <c r="I134" s="286"/>
      <c r="J134" s="286"/>
      <c r="K134" s="286"/>
      <c r="L134" s="286"/>
      <c r="M134" s="286"/>
      <c r="N134" s="286"/>
      <c r="O134" s="286"/>
      <c r="P134" s="286"/>
      <c r="Q134" s="286"/>
      <c r="R134" s="286"/>
      <c r="S134" s="286"/>
      <c r="T134" s="286"/>
      <c r="U134" s="286"/>
      <c r="V134" s="286"/>
      <c r="W134" s="286"/>
      <c r="X134" s="286"/>
    </row>
    <row r="135" spans="1:27" x14ac:dyDescent="0.2">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row>
    <row r="136" spans="1:27" ht="39.75" customHeight="1" x14ac:dyDescent="0.2">
      <c r="A136" s="35" t="s">
        <v>52</v>
      </c>
      <c r="B136" s="286" t="s">
        <v>53</v>
      </c>
      <c r="C136" s="286"/>
      <c r="D136" s="286"/>
      <c r="E136" s="286"/>
      <c r="F136" s="286"/>
      <c r="G136" s="286"/>
      <c r="H136" s="286"/>
      <c r="I136" s="286"/>
      <c r="J136" s="286"/>
      <c r="K136" s="286"/>
      <c r="L136" s="286"/>
      <c r="M136" s="286"/>
      <c r="N136" s="286"/>
      <c r="O136" s="286"/>
      <c r="P136" s="286"/>
      <c r="Q136" s="286"/>
      <c r="R136" s="286"/>
      <c r="S136" s="286"/>
      <c r="T136" s="286"/>
      <c r="U136" s="286"/>
      <c r="V136" s="286"/>
      <c r="W136" s="286"/>
      <c r="X136" s="286"/>
    </row>
    <row r="137" spans="1:27" x14ac:dyDescent="0.2">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row>
    <row r="138" spans="1:27" ht="39.75" customHeight="1" x14ac:dyDescent="0.2">
      <c r="A138" s="35" t="s">
        <v>54</v>
      </c>
      <c r="B138" s="286" t="s">
        <v>55</v>
      </c>
      <c r="C138" s="286"/>
      <c r="D138" s="286"/>
      <c r="E138" s="286"/>
      <c r="F138" s="286"/>
      <c r="G138" s="286"/>
      <c r="H138" s="286"/>
      <c r="I138" s="286"/>
      <c r="J138" s="286"/>
      <c r="K138" s="286"/>
      <c r="L138" s="286"/>
      <c r="M138" s="286"/>
      <c r="N138" s="286"/>
      <c r="O138" s="286"/>
      <c r="P138" s="286"/>
      <c r="Q138" s="286"/>
      <c r="R138" s="286"/>
      <c r="S138" s="286"/>
      <c r="T138" s="286"/>
      <c r="U138" s="286"/>
      <c r="V138" s="286"/>
      <c r="W138" s="286"/>
      <c r="X138" s="286"/>
    </row>
  </sheetData>
  <mergeCells count="110">
    <mergeCell ref="E24:E28"/>
    <mergeCell ref="F24:X24"/>
    <mergeCell ref="A13:B13"/>
    <mergeCell ref="C13:D13"/>
    <mergeCell ref="A15:B15"/>
    <mergeCell ref="C15:D15"/>
    <mergeCell ref="A10:B10"/>
    <mergeCell ref="C10:D10"/>
    <mergeCell ref="A1:X1"/>
    <mergeCell ref="A18:X18"/>
    <mergeCell ref="A19:X19"/>
    <mergeCell ref="A23:X23"/>
    <mergeCell ref="A3:X3"/>
    <mergeCell ref="A4:X4"/>
    <mergeCell ref="A5:X5"/>
    <mergeCell ref="A6:X6"/>
    <mergeCell ref="A7:X7"/>
    <mergeCell ref="A8:X8"/>
    <mergeCell ref="A9:X9"/>
    <mergeCell ref="A32:X32"/>
    <mergeCell ref="A33:X33"/>
    <mergeCell ref="A34:X34"/>
    <mergeCell ref="A35:B35"/>
    <mergeCell ref="C35:D35"/>
    <mergeCell ref="E35:E38"/>
    <mergeCell ref="F35:X35"/>
    <mergeCell ref="A36:B36"/>
    <mergeCell ref="C36:D36"/>
    <mergeCell ref="B136:X136"/>
    <mergeCell ref="B138:X138"/>
    <mergeCell ref="A68:B68"/>
    <mergeCell ref="C68:D68"/>
    <mergeCell ref="F68:X70"/>
    <mergeCell ref="A74:W74"/>
    <mergeCell ref="A76:B76"/>
    <mergeCell ref="C76:D76"/>
    <mergeCell ref="A52:X52"/>
    <mergeCell ref="A90:X90"/>
    <mergeCell ref="A91:B91"/>
    <mergeCell ref="C91:D91"/>
    <mergeCell ref="E91:E93"/>
    <mergeCell ref="F91:X91"/>
    <mergeCell ref="A54:X54"/>
    <mergeCell ref="B55:X57"/>
    <mergeCell ref="A58:W58"/>
    <mergeCell ref="A60:B60"/>
    <mergeCell ref="C60:D60"/>
    <mergeCell ref="F60:X62"/>
    <mergeCell ref="A64:B64"/>
    <mergeCell ref="C64:D64"/>
    <mergeCell ref="F64:X66"/>
    <mergeCell ref="F92:X93"/>
    <mergeCell ref="F115:X116"/>
    <mergeCell ref="C83:D83"/>
    <mergeCell ref="A88:X88"/>
    <mergeCell ref="A89:X89"/>
    <mergeCell ref="A92:B92"/>
    <mergeCell ref="F83:X85"/>
    <mergeCell ref="A102:X102"/>
    <mergeCell ref="B134:X134"/>
    <mergeCell ref="A118:X118"/>
    <mergeCell ref="A123:X123"/>
    <mergeCell ref="A125:X125"/>
    <mergeCell ref="A127:X127"/>
    <mergeCell ref="A129:X129"/>
    <mergeCell ref="A131:X131"/>
    <mergeCell ref="A110:X110"/>
    <mergeCell ref="A111:X111"/>
    <mergeCell ref="A112:X112"/>
    <mergeCell ref="A115:B115"/>
    <mergeCell ref="C115:D115"/>
    <mergeCell ref="A87:X87"/>
    <mergeCell ref="A113:X114"/>
    <mergeCell ref="A103:X103"/>
    <mergeCell ref="A105:X105"/>
    <mergeCell ref="A83:B83"/>
    <mergeCell ref="C92:D92"/>
    <mergeCell ref="Z52:AD62"/>
    <mergeCell ref="F10:X12"/>
    <mergeCell ref="F13:X14"/>
    <mergeCell ref="F15:X16"/>
    <mergeCell ref="A20:X22"/>
    <mergeCell ref="F25:X27"/>
    <mergeCell ref="F28:X29"/>
    <mergeCell ref="F38:X40"/>
    <mergeCell ref="B46:X48"/>
    <mergeCell ref="A81:X81"/>
    <mergeCell ref="A42:X42"/>
    <mergeCell ref="A44:X44"/>
    <mergeCell ref="A50:B50"/>
    <mergeCell ref="C50:D50"/>
    <mergeCell ref="F50:X50"/>
    <mergeCell ref="F36:X36"/>
    <mergeCell ref="A37:B37"/>
    <mergeCell ref="C37:D37"/>
    <mergeCell ref="F37:X37"/>
    <mergeCell ref="A38:B38"/>
    <mergeCell ref="C38:D38"/>
    <mergeCell ref="F76:X79"/>
    <mergeCell ref="A31:X31"/>
    <mergeCell ref="Z108:AE110"/>
    <mergeCell ref="C107:I107"/>
    <mergeCell ref="L107:P107"/>
    <mergeCell ref="A95:X95"/>
    <mergeCell ref="A97:X97"/>
    <mergeCell ref="B99:X99"/>
    <mergeCell ref="A100:B100"/>
    <mergeCell ref="C100:D100"/>
    <mergeCell ref="F100:X101"/>
    <mergeCell ref="C108:I109"/>
  </mergeCells>
  <conditionalFormatting sqref="A105:A108 Q105:X108 A110:X110 B105:P106">
    <cfRule type="cellIs" dxfId="19" priority="1" stopIfTrue="1" operator="equal">
      <formula>#REF!</formula>
    </cfRule>
  </conditionalFormatting>
  <printOptions horizontalCentered="1"/>
  <pageMargins left="0.5" right="0.5" top="1" bottom="1" header="0.5" footer="0.5"/>
  <pageSetup scale="88" orientation="portrait" r:id="rId1"/>
  <headerFooter>
    <oddFooter>&amp;RPage &amp;P of &amp;N</oddFooter>
  </headerFooter>
  <rowBreaks count="2" manualBreakCount="2">
    <brk id="30" max="16383" man="1"/>
    <brk id="8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142" r:id="rId4" name="Check Box 70">
              <controlPr defaultSize="0" autoFill="0" autoLine="0" autoPict="0">
                <anchor moveWithCells="1">
                  <from>
                    <xdr:col>0</xdr:col>
                    <xdr:colOff>0</xdr:colOff>
                    <xdr:row>9</xdr:row>
                    <xdr:rowOff>28575</xdr:rowOff>
                  </from>
                  <to>
                    <xdr:col>1</xdr:col>
                    <xdr:colOff>200025</xdr:colOff>
                    <xdr:row>9</xdr:row>
                    <xdr:rowOff>152400</xdr:rowOff>
                  </to>
                </anchor>
              </controlPr>
            </control>
          </mc:Choice>
        </mc:AlternateContent>
        <mc:AlternateContent xmlns:mc="http://schemas.openxmlformats.org/markup-compatibility/2006">
          <mc:Choice Requires="x14">
            <control shapeId="3143" r:id="rId5" name="Check Box 71">
              <controlPr defaultSize="0" autoFill="0" autoLine="0" autoPict="0">
                <anchor moveWithCells="1">
                  <from>
                    <xdr:col>2</xdr:col>
                    <xdr:colOff>47625</xdr:colOff>
                    <xdr:row>9</xdr:row>
                    <xdr:rowOff>28575</xdr:rowOff>
                  </from>
                  <to>
                    <xdr:col>4</xdr:col>
                    <xdr:colOff>19050</xdr:colOff>
                    <xdr:row>9</xdr:row>
                    <xdr:rowOff>152400</xdr:rowOff>
                  </to>
                </anchor>
              </controlPr>
            </control>
          </mc:Choice>
        </mc:AlternateContent>
        <mc:AlternateContent xmlns:mc="http://schemas.openxmlformats.org/markup-compatibility/2006">
          <mc:Choice Requires="x14">
            <control shapeId="3172" r:id="rId6" name="Check Box 100">
              <controlPr defaultSize="0" autoFill="0" autoLine="0" autoPict="0">
                <anchor moveWithCells="1">
                  <from>
                    <xdr:col>0</xdr:col>
                    <xdr:colOff>0</xdr:colOff>
                    <xdr:row>12</xdr:row>
                    <xdr:rowOff>28575</xdr:rowOff>
                  </from>
                  <to>
                    <xdr:col>1</xdr:col>
                    <xdr:colOff>200025</xdr:colOff>
                    <xdr:row>12</xdr:row>
                    <xdr:rowOff>152400</xdr:rowOff>
                  </to>
                </anchor>
              </controlPr>
            </control>
          </mc:Choice>
        </mc:AlternateContent>
        <mc:AlternateContent xmlns:mc="http://schemas.openxmlformats.org/markup-compatibility/2006">
          <mc:Choice Requires="x14">
            <control shapeId="3173" r:id="rId7" name="Check Box 101">
              <controlPr defaultSize="0" autoFill="0" autoLine="0" autoPict="0">
                <anchor moveWithCells="1">
                  <from>
                    <xdr:col>2</xdr:col>
                    <xdr:colOff>47625</xdr:colOff>
                    <xdr:row>12</xdr:row>
                    <xdr:rowOff>28575</xdr:rowOff>
                  </from>
                  <to>
                    <xdr:col>4</xdr:col>
                    <xdr:colOff>19050</xdr:colOff>
                    <xdr:row>12</xdr:row>
                    <xdr:rowOff>152400</xdr:rowOff>
                  </to>
                </anchor>
              </controlPr>
            </control>
          </mc:Choice>
        </mc:AlternateContent>
        <mc:AlternateContent xmlns:mc="http://schemas.openxmlformats.org/markup-compatibility/2006">
          <mc:Choice Requires="x14">
            <control shapeId="3174" r:id="rId8" name="Check Box 102">
              <controlPr defaultSize="0" autoFill="0" autoLine="0" autoPict="0">
                <anchor moveWithCells="1">
                  <from>
                    <xdr:col>0</xdr:col>
                    <xdr:colOff>0</xdr:colOff>
                    <xdr:row>14</xdr:row>
                    <xdr:rowOff>28575</xdr:rowOff>
                  </from>
                  <to>
                    <xdr:col>1</xdr:col>
                    <xdr:colOff>200025</xdr:colOff>
                    <xdr:row>14</xdr:row>
                    <xdr:rowOff>152400</xdr:rowOff>
                  </to>
                </anchor>
              </controlPr>
            </control>
          </mc:Choice>
        </mc:AlternateContent>
        <mc:AlternateContent xmlns:mc="http://schemas.openxmlformats.org/markup-compatibility/2006">
          <mc:Choice Requires="x14">
            <control shapeId="3175" r:id="rId9" name="Check Box 103">
              <controlPr defaultSize="0" autoFill="0" autoLine="0" autoPict="0">
                <anchor moveWithCells="1">
                  <from>
                    <xdr:col>2</xdr:col>
                    <xdr:colOff>47625</xdr:colOff>
                    <xdr:row>14</xdr:row>
                    <xdr:rowOff>28575</xdr:rowOff>
                  </from>
                  <to>
                    <xdr:col>4</xdr:col>
                    <xdr:colOff>19050</xdr:colOff>
                    <xdr:row>14</xdr:row>
                    <xdr:rowOff>152400</xdr:rowOff>
                  </to>
                </anchor>
              </controlPr>
            </control>
          </mc:Choice>
        </mc:AlternateContent>
        <mc:AlternateContent xmlns:mc="http://schemas.openxmlformats.org/markup-compatibility/2006">
          <mc:Choice Requires="x14">
            <control shapeId="3178" r:id="rId10" name="Check Box 106">
              <controlPr defaultSize="0" autoFill="0" autoLine="0" autoPict="0">
                <anchor moveWithCells="1">
                  <from>
                    <xdr:col>0</xdr:col>
                    <xdr:colOff>0</xdr:colOff>
                    <xdr:row>34</xdr:row>
                    <xdr:rowOff>28575</xdr:rowOff>
                  </from>
                  <to>
                    <xdr:col>1</xdr:col>
                    <xdr:colOff>200025</xdr:colOff>
                    <xdr:row>34</xdr:row>
                    <xdr:rowOff>152400</xdr:rowOff>
                  </to>
                </anchor>
              </controlPr>
            </control>
          </mc:Choice>
        </mc:AlternateContent>
        <mc:AlternateContent xmlns:mc="http://schemas.openxmlformats.org/markup-compatibility/2006">
          <mc:Choice Requires="x14">
            <control shapeId="3179" r:id="rId11" name="Check Box 107">
              <controlPr defaultSize="0" autoFill="0" autoLine="0" autoPict="0">
                <anchor moveWithCells="1">
                  <from>
                    <xdr:col>2</xdr:col>
                    <xdr:colOff>47625</xdr:colOff>
                    <xdr:row>34</xdr:row>
                    <xdr:rowOff>28575</xdr:rowOff>
                  </from>
                  <to>
                    <xdr:col>4</xdr:col>
                    <xdr:colOff>19050</xdr:colOff>
                    <xdr:row>34</xdr:row>
                    <xdr:rowOff>152400</xdr:rowOff>
                  </to>
                </anchor>
              </controlPr>
            </control>
          </mc:Choice>
        </mc:AlternateContent>
        <mc:AlternateContent xmlns:mc="http://schemas.openxmlformats.org/markup-compatibility/2006">
          <mc:Choice Requires="x14">
            <control shapeId="3180" r:id="rId12" name="Check Box 108">
              <controlPr defaultSize="0" autoFill="0" autoLine="0" autoPict="0">
                <anchor moveWithCells="1">
                  <from>
                    <xdr:col>0</xdr:col>
                    <xdr:colOff>0</xdr:colOff>
                    <xdr:row>35</xdr:row>
                    <xdr:rowOff>28575</xdr:rowOff>
                  </from>
                  <to>
                    <xdr:col>1</xdr:col>
                    <xdr:colOff>200025</xdr:colOff>
                    <xdr:row>35</xdr:row>
                    <xdr:rowOff>152400</xdr:rowOff>
                  </to>
                </anchor>
              </controlPr>
            </control>
          </mc:Choice>
        </mc:AlternateContent>
        <mc:AlternateContent xmlns:mc="http://schemas.openxmlformats.org/markup-compatibility/2006">
          <mc:Choice Requires="x14">
            <control shapeId="3181" r:id="rId13" name="Check Box 109">
              <controlPr defaultSize="0" autoFill="0" autoLine="0" autoPict="0">
                <anchor moveWithCells="1">
                  <from>
                    <xdr:col>2</xdr:col>
                    <xdr:colOff>47625</xdr:colOff>
                    <xdr:row>35</xdr:row>
                    <xdr:rowOff>28575</xdr:rowOff>
                  </from>
                  <to>
                    <xdr:col>4</xdr:col>
                    <xdr:colOff>19050</xdr:colOff>
                    <xdr:row>35</xdr:row>
                    <xdr:rowOff>152400</xdr:rowOff>
                  </to>
                </anchor>
              </controlPr>
            </control>
          </mc:Choice>
        </mc:AlternateContent>
        <mc:AlternateContent xmlns:mc="http://schemas.openxmlformats.org/markup-compatibility/2006">
          <mc:Choice Requires="x14">
            <control shapeId="3182" r:id="rId14" name="Check Box 110">
              <controlPr defaultSize="0" autoFill="0" autoLine="0" autoPict="0">
                <anchor moveWithCells="1">
                  <from>
                    <xdr:col>0</xdr:col>
                    <xdr:colOff>0</xdr:colOff>
                    <xdr:row>36</xdr:row>
                    <xdr:rowOff>28575</xdr:rowOff>
                  </from>
                  <to>
                    <xdr:col>1</xdr:col>
                    <xdr:colOff>200025</xdr:colOff>
                    <xdr:row>36</xdr:row>
                    <xdr:rowOff>152400</xdr:rowOff>
                  </to>
                </anchor>
              </controlPr>
            </control>
          </mc:Choice>
        </mc:AlternateContent>
        <mc:AlternateContent xmlns:mc="http://schemas.openxmlformats.org/markup-compatibility/2006">
          <mc:Choice Requires="x14">
            <control shapeId="3183" r:id="rId15" name="Check Box 111">
              <controlPr defaultSize="0" autoFill="0" autoLine="0" autoPict="0">
                <anchor moveWithCells="1">
                  <from>
                    <xdr:col>2</xdr:col>
                    <xdr:colOff>47625</xdr:colOff>
                    <xdr:row>36</xdr:row>
                    <xdr:rowOff>28575</xdr:rowOff>
                  </from>
                  <to>
                    <xdr:col>4</xdr:col>
                    <xdr:colOff>19050</xdr:colOff>
                    <xdr:row>36</xdr:row>
                    <xdr:rowOff>152400</xdr:rowOff>
                  </to>
                </anchor>
              </controlPr>
            </control>
          </mc:Choice>
        </mc:AlternateContent>
        <mc:AlternateContent xmlns:mc="http://schemas.openxmlformats.org/markup-compatibility/2006">
          <mc:Choice Requires="x14">
            <control shapeId="3184" r:id="rId16" name="Check Box 112">
              <controlPr defaultSize="0" autoFill="0" autoLine="0" autoPict="0">
                <anchor moveWithCells="1">
                  <from>
                    <xdr:col>0</xdr:col>
                    <xdr:colOff>0</xdr:colOff>
                    <xdr:row>37</xdr:row>
                    <xdr:rowOff>28575</xdr:rowOff>
                  </from>
                  <to>
                    <xdr:col>1</xdr:col>
                    <xdr:colOff>200025</xdr:colOff>
                    <xdr:row>37</xdr:row>
                    <xdr:rowOff>152400</xdr:rowOff>
                  </to>
                </anchor>
              </controlPr>
            </control>
          </mc:Choice>
        </mc:AlternateContent>
        <mc:AlternateContent xmlns:mc="http://schemas.openxmlformats.org/markup-compatibility/2006">
          <mc:Choice Requires="x14">
            <control shapeId="3185" r:id="rId17" name="Check Box 113">
              <controlPr defaultSize="0" autoFill="0" autoLine="0" autoPict="0">
                <anchor moveWithCells="1">
                  <from>
                    <xdr:col>2</xdr:col>
                    <xdr:colOff>47625</xdr:colOff>
                    <xdr:row>37</xdr:row>
                    <xdr:rowOff>28575</xdr:rowOff>
                  </from>
                  <to>
                    <xdr:col>4</xdr:col>
                    <xdr:colOff>19050</xdr:colOff>
                    <xdr:row>37</xdr:row>
                    <xdr:rowOff>152400</xdr:rowOff>
                  </to>
                </anchor>
              </controlPr>
            </control>
          </mc:Choice>
        </mc:AlternateContent>
        <mc:AlternateContent xmlns:mc="http://schemas.openxmlformats.org/markup-compatibility/2006">
          <mc:Choice Requires="x14">
            <control shapeId="3186" r:id="rId18" name="Check Box 114">
              <controlPr defaultSize="0" autoFill="0" autoLine="0" autoPict="0">
                <anchor moveWithCells="1">
                  <from>
                    <xdr:col>0</xdr:col>
                    <xdr:colOff>0</xdr:colOff>
                    <xdr:row>37</xdr:row>
                    <xdr:rowOff>28575</xdr:rowOff>
                  </from>
                  <to>
                    <xdr:col>1</xdr:col>
                    <xdr:colOff>200025</xdr:colOff>
                    <xdr:row>37</xdr:row>
                    <xdr:rowOff>152400</xdr:rowOff>
                  </to>
                </anchor>
              </controlPr>
            </control>
          </mc:Choice>
        </mc:AlternateContent>
        <mc:AlternateContent xmlns:mc="http://schemas.openxmlformats.org/markup-compatibility/2006">
          <mc:Choice Requires="x14">
            <control shapeId="3187" r:id="rId19" name="Check Box 115">
              <controlPr defaultSize="0" autoFill="0" autoLine="0" autoPict="0">
                <anchor moveWithCells="1">
                  <from>
                    <xdr:col>2</xdr:col>
                    <xdr:colOff>47625</xdr:colOff>
                    <xdr:row>37</xdr:row>
                    <xdr:rowOff>28575</xdr:rowOff>
                  </from>
                  <to>
                    <xdr:col>4</xdr:col>
                    <xdr:colOff>19050</xdr:colOff>
                    <xdr:row>37</xdr:row>
                    <xdr:rowOff>152400</xdr:rowOff>
                  </to>
                </anchor>
              </controlPr>
            </control>
          </mc:Choice>
        </mc:AlternateContent>
        <mc:AlternateContent xmlns:mc="http://schemas.openxmlformats.org/markup-compatibility/2006">
          <mc:Choice Requires="x14">
            <control shapeId="3188" r:id="rId20" name="Check Box 116">
              <controlPr defaultSize="0" autoFill="0" autoLine="0" autoPict="0">
                <anchor moveWithCells="1">
                  <from>
                    <xdr:col>0</xdr:col>
                    <xdr:colOff>0</xdr:colOff>
                    <xdr:row>49</xdr:row>
                    <xdr:rowOff>28575</xdr:rowOff>
                  </from>
                  <to>
                    <xdr:col>1</xdr:col>
                    <xdr:colOff>200025</xdr:colOff>
                    <xdr:row>49</xdr:row>
                    <xdr:rowOff>152400</xdr:rowOff>
                  </to>
                </anchor>
              </controlPr>
            </control>
          </mc:Choice>
        </mc:AlternateContent>
        <mc:AlternateContent xmlns:mc="http://schemas.openxmlformats.org/markup-compatibility/2006">
          <mc:Choice Requires="x14">
            <control shapeId="3189" r:id="rId21" name="Check Box 117">
              <controlPr defaultSize="0" autoFill="0" autoLine="0" autoPict="0">
                <anchor moveWithCells="1">
                  <from>
                    <xdr:col>2</xdr:col>
                    <xdr:colOff>47625</xdr:colOff>
                    <xdr:row>49</xdr:row>
                    <xdr:rowOff>28575</xdr:rowOff>
                  </from>
                  <to>
                    <xdr:col>4</xdr:col>
                    <xdr:colOff>19050</xdr:colOff>
                    <xdr:row>49</xdr:row>
                    <xdr:rowOff>152400</xdr:rowOff>
                  </to>
                </anchor>
              </controlPr>
            </control>
          </mc:Choice>
        </mc:AlternateContent>
        <mc:AlternateContent xmlns:mc="http://schemas.openxmlformats.org/markup-compatibility/2006">
          <mc:Choice Requires="x14">
            <control shapeId="3190" r:id="rId22" name="Check Box 118">
              <controlPr defaultSize="0" autoFill="0" autoLine="0" autoPict="0">
                <anchor moveWithCells="1">
                  <from>
                    <xdr:col>0</xdr:col>
                    <xdr:colOff>0</xdr:colOff>
                    <xdr:row>59</xdr:row>
                    <xdr:rowOff>28575</xdr:rowOff>
                  </from>
                  <to>
                    <xdr:col>1</xdr:col>
                    <xdr:colOff>200025</xdr:colOff>
                    <xdr:row>59</xdr:row>
                    <xdr:rowOff>152400</xdr:rowOff>
                  </to>
                </anchor>
              </controlPr>
            </control>
          </mc:Choice>
        </mc:AlternateContent>
        <mc:AlternateContent xmlns:mc="http://schemas.openxmlformats.org/markup-compatibility/2006">
          <mc:Choice Requires="x14">
            <control shapeId="3191" r:id="rId23" name="Check Box 119">
              <controlPr defaultSize="0" autoFill="0" autoLine="0" autoPict="0">
                <anchor moveWithCells="1">
                  <from>
                    <xdr:col>2</xdr:col>
                    <xdr:colOff>47625</xdr:colOff>
                    <xdr:row>59</xdr:row>
                    <xdr:rowOff>28575</xdr:rowOff>
                  </from>
                  <to>
                    <xdr:col>4</xdr:col>
                    <xdr:colOff>19050</xdr:colOff>
                    <xdr:row>59</xdr:row>
                    <xdr:rowOff>152400</xdr:rowOff>
                  </to>
                </anchor>
              </controlPr>
            </control>
          </mc:Choice>
        </mc:AlternateContent>
        <mc:AlternateContent xmlns:mc="http://schemas.openxmlformats.org/markup-compatibility/2006">
          <mc:Choice Requires="x14">
            <control shapeId="3192" r:id="rId24" name="Check Box 120">
              <controlPr defaultSize="0" autoFill="0" autoLine="0" autoPict="0">
                <anchor moveWithCells="1">
                  <from>
                    <xdr:col>0</xdr:col>
                    <xdr:colOff>0</xdr:colOff>
                    <xdr:row>63</xdr:row>
                    <xdr:rowOff>28575</xdr:rowOff>
                  </from>
                  <to>
                    <xdr:col>1</xdr:col>
                    <xdr:colOff>200025</xdr:colOff>
                    <xdr:row>63</xdr:row>
                    <xdr:rowOff>152400</xdr:rowOff>
                  </to>
                </anchor>
              </controlPr>
            </control>
          </mc:Choice>
        </mc:AlternateContent>
        <mc:AlternateContent xmlns:mc="http://schemas.openxmlformats.org/markup-compatibility/2006">
          <mc:Choice Requires="x14">
            <control shapeId="3193" r:id="rId25" name="Check Box 121">
              <controlPr defaultSize="0" autoFill="0" autoLine="0" autoPict="0">
                <anchor moveWithCells="1">
                  <from>
                    <xdr:col>2</xdr:col>
                    <xdr:colOff>47625</xdr:colOff>
                    <xdr:row>63</xdr:row>
                    <xdr:rowOff>28575</xdr:rowOff>
                  </from>
                  <to>
                    <xdr:col>4</xdr:col>
                    <xdr:colOff>19050</xdr:colOff>
                    <xdr:row>63</xdr:row>
                    <xdr:rowOff>152400</xdr:rowOff>
                  </to>
                </anchor>
              </controlPr>
            </control>
          </mc:Choice>
        </mc:AlternateContent>
        <mc:AlternateContent xmlns:mc="http://schemas.openxmlformats.org/markup-compatibility/2006">
          <mc:Choice Requires="x14">
            <control shapeId="3194" r:id="rId26" name="Check Box 122">
              <controlPr defaultSize="0" autoFill="0" autoLine="0" autoPict="0">
                <anchor moveWithCells="1">
                  <from>
                    <xdr:col>0</xdr:col>
                    <xdr:colOff>0</xdr:colOff>
                    <xdr:row>67</xdr:row>
                    <xdr:rowOff>28575</xdr:rowOff>
                  </from>
                  <to>
                    <xdr:col>1</xdr:col>
                    <xdr:colOff>200025</xdr:colOff>
                    <xdr:row>67</xdr:row>
                    <xdr:rowOff>152400</xdr:rowOff>
                  </to>
                </anchor>
              </controlPr>
            </control>
          </mc:Choice>
        </mc:AlternateContent>
        <mc:AlternateContent xmlns:mc="http://schemas.openxmlformats.org/markup-compatibility/2006">
          <mc:Choice Requires="x14">
            <control shapeId="3195" r:id="rId27" name="Check Box 123">
              <controlPr defaultSize="0" autoFill="0" autoLine="0" autoPict="0">
                <anchor moveWithCells="1">
                  <from>
                    <xdr:col>2</xdr:col>
                    <xdr:colOff>47625</xdr:colOff>
                    <xdr:row>67</xdr:row>
                    <xdr:rowOff>28575</xdr:rowOff>
                  </from>
                  <to>
                    <xdr:col>4</xdr:col>
                    <xdr:colOff>19050</xdr:colOff>
                    <xdr:row>67</xdr:row>
                    <xdr:rowOff>152400</xdr:rowOff>
                  </to>
                </anchor>
              </controlPr>
            </control>
          </mc:Choice>
        </mc:AlternateContent>
        <mc:AlternateContent xmlns:mc="http://schemas.openxmlformats.org/markup-compatibility/2006">
          <mc:Choice Requires="x14">
            <control shapeId="3196" r:id="rId28" name="Check Box 124">
              <controlPr defaultSize="0" autoFill="0" autoLine="0" autoPict="0">
                <anchor moveWithCells="1">
                  <from>
                    <xdr:col>0</xdr:col>
                    <xdr:colOff>0</xdr:colOff>
                    <xdr:row>75</xdr:row>
                    <xdr:rowOff>28575</xdr:rowOff>
                  </from>
                  <to>
                    <xdr:col>1</xdr:col>
                    <xdr:colOff>200025</xdr:colOff>
                    <xdr:row>75</xdr:row>
                    <xdr:rowOff>152400</xdr:rowOff>
                  </to>
                </anchor>
              </controlPr>
            </control>
          </mc:Choice>
        </mc:AlternateContent>
        <mc:AlternateContent xmlns:mc="http://schemas.openxmlformats.org/markup-compatibility/2006">
          <mc:Choice Requires="x14">
            <control shapeId="3197" r:id="rId29" name="Check Box 125">
              <controlPr defaultSize="0" autoFill="0" autoLine="0" autoPict="0">
                <anchor moveWithCells="1">
                  <from>
                    <xdr:col>2</xdr:col>
                    <xdr:colOff>47625</xdr:colOff>
                    <xdr:row>75</xdr:row>
                    <xdr:rowOff>28575</xdr:rowOff>
                  </from>
                  <to>
                    <xdr:col>4</xdr:col>
                    <xdr:colOff>19050</xdr:colOff>
                    <xdr:row>75</xdr:row>
                    <xdr:rowOff>152400</xdr:rowOff>
                  </to>
                </anchor>
              </controlPr>
            </control>
          </mc:Choice>
        </mc:AlternateContent>
        <mc:AlternateContent xmlns:mc="http://schemas.openxmlformats.org/markup-compatibility/2006">
          <mc:Choice Requires="x14">
            <control shapeId="3198" r:id="rId30" name="Check Box 126">
              <controlPr defaultSize="0" autoFill="0" autoLine="0" autoPict="0">
                <anchor moveWithCells="1">
                  <from>
                    <xdr:col>0</xdr:col>
                    <xdr:colOff>0</xdr:colOff>
                    <xdr:row>82</xdr:row>
                    <xdr:rowOff>28575</xdr:rowOff>
                  </from>
                  <to>
                    <xdr:col>1</xdr:col>
                    <xdr:colOff>200025</xdr:colOff>
                    <xdr:row>82</xdr:row>
                    <xdr:rowOff>152400</xdr:rowOff>
                  </to>
                </anchor>
              </controlPr>
            </control>
          </mc:Choice>
        </mc:AlternateContent>
        <mc:AlternateContent xmlns:mc="http://schemas.openxmlformats.org/markup-compatibility/2006">
          <mc:Choice Requires="x14">
            <control shapeId="3199" r:id="rId31" name="Check Box 127">
              <controlPr defaultSize="0" autoFill="0" autoLine="0" autoPict="0">
                <anchor moveWithCells="1">
                  <from>
                    <xdr:col>2</xdr:col>
                    <xdr:colOff>47625</xdr:colOff>
                    <xdr:row>82</xdr:row>
                    <xdr:rowOff>28575</xdr:rowOff>
                  </from>
                  <to>
                    <xdr:col>4</xdr:col>
                    <xdr:colOff>19050</xdr:colOff>
                    <xdr:row>82</xdr:row>
                    <xdr:rowOff>152400</xdr:rowOff>
                  </to>
                </anchor>
              </controlPr>
            </control>
          </mc:Choice>
        </mc:AlternateContent>
        <mc:AlternateContent xmlns:mc="http://schemas.openxmlformats.org/markup-compatibility/2006">
          <mc:Choice Requires="x14">
            <control shapeId="3200" r:id="rId32" name="Check Box 128">
              <controlPr defaultSize="0" autoFill="0" autoLine="0" autoPict="0">
                <anchor moveWithCells="1">
                  <from>
                    <xdr:col>0</xdr:col>
                    <xdr:colOff>0</xdr:colOff>
                    <xdr:row>90</xdr:row>
                    <xdr:rowOff>28575</xdr:rowOff>
                  </from>
                  <to>
                    <xdr:col>1</xdr:col>
                    <xdr:colOff>200025</xdr:colOff>
                    <xdr:row>90</xdr:row>
                    <xdr:rowOff>152400</xdr:rowOff>
                  </to>
                </anchor>
              </controlPr>
            </control>
          </mc:Choice>
        </mc:AlternateContent>
        <mc:AlternateContent xmlns:mc="http://schemas.openxmlformats.org/markup-compatibility/2006">
          <mc:Choice Requires="x14">
            <control shapeId="3201" r:id="rId33" name="Check Box 129">
              <controlPr defaultSize="0" autoFill="0" autoLine="0" autoPict="0">
                <anchor moveWithCells="1">
                  <from>
                    <xdr:col>2</xdr:col>
                    <xdr:colOff>47625</xdr:colOff>
                    <xdr:row>90</xdr:row>
                    <xdr:rowOff>28575</xdr:rowOff>
                  </from>
                  <to>
                    <xdr:col>4</xdr:col>
                    <xdr:colOff>19050</xdr:colOff>
                    <xdr:row>90</xdr:row>
                    <xdr:rowOff>152400</xdr:rowOff>
                  </to>
                </anchor>
              </controlPr>
            </control>
          </mc:Choice>
        </mc:AlternateContent>
        <mc:AlternateContent xmlns:mc="http://schemas.openxmlformats.org/markup-compatibility/2006">
          <mc:Choice Requires="x14">
            <control shapeId="3202" r:id="rId34" name="Check Box 130">
              <controlPr defaultSize="0" autoFill="0" autoLine="0" autoPict="0">
                <anchor moveWithCells="1">
                  <from>
                    <xdr:col>0</xdr:col>
                    <xdr:colOff>0</xdr:colOff>
                    <xdr:row>91</xdr:row>
                    <xdr:rowOff>28575</xdr:rowOff>
                  </from>
                  <to>
                    <xdr:col>1</xdr:col>
                    <xdr:colOff>200025</xdr:colOff>
                    <xdr:row>91</xdr:row>
                    <xdr:rowOff>152400</xdr:rowOff>
                  </to>
                </anchor>
              </controlPr>
            </control>
          </mc:Choice>
        </mc:AlternateContent>
        <mc:AlternateContent xmlns:mc="http://schemas.openxmlformats.org/markup-compatibility/2006">
          <mc:Choice Requires="x14">
            <control shapeId="3203" r:id="rId35" name="Check Box 131">
              <controlPr defaultSize="0" autoFill="0" autoLine="0" autoPict="0">
                <anchor moveWithCells="1">
                  <from>
                    <xdr:col>2</xdr:col>
                    <xdr:colOff>47625</xdr:colOff>
                    <xdr:row>91</xdr:row>
                    <xdr:rowOff>28575</xdr:rowOff>
                  </from>
                  <to>
                    <xdr:col>4</xdr:col>
                    <xdr:colOff>19050</xdr:colOff>
                    <xdr:row>91</xdr:row>
                    <xdr:rowOff>152400</xdr:rowOff>
                  </to>
                </anchor>
              </controlPr>
            </control>
          </mc:Choice>
        </mc:AlternateContent>
        <mc:AlternateContent xmlns:mc="http://schemas.openxmlformats.org/markup-compatibility/2006">
          <mc:Choice Requires="x14">
            <control shapeId="3204" r:id="rId36" name="Check Box 132">
              <controlPr defaultSize="0" autoFill="0" autoLine="0" autoPict="0">
                <anchor moveWithCells="1">
                  <from>
                    <xdr:col>0</xdr:col>
                    <xdr:colOff>0</xdr:colOff>
                    <xdr:row>99</xdr:row>
                    <xdr:rowOff>28575</xdr:rowOff>
                  </from>
                  <to>
                    <xdr:col>1</xdr:col>
                    <xdr:colOff>200025</xdr:colOff>
                    <xdr:row>99</xdr:row>
                    <xdr:rowOff>152400</xdr:rowOff>
                  </to>
                </anchor>
              </controlPr>
            </control>
          </mc:Choice>
        </mc:AlternateContent>
        <mc:AlternateContent xmlns:mc="http://schemas.openxmlformats.org/markup-compatibility/2006">
          <mc:Choice Requires="x14">
            <control shapeId="3205" r:id="rId37" name="Check Box 133">
              <controlPr defaultSize="0" autoFill="0" autoLine="0" autoPict="0">
                <anchor moveWithCells="1">
                  <from>
                    <xdr:col>2</xdr:col>
                    <xdr:colOff>47625</xdr:colOff>
                    <xdr:row>99</xdr:row>
                    <xdr:rowOff>28575</xdr:rowOff>
                  </from>
                  <to>
                    <xdr:col>4</xdr:col>
                    <xdr:colOff>19050</xdr:colOff>
                    <xdr:row>99</xdr:row>
                    <xdr:rowOff>152400</xdr:rowOff>
                  </to>
                </anchor>
              </controlPr>
            </control>
          </mc:Choice>
        </mc:AlternateContent>
        <mc:AlternateContent xmlns:mc="http://schemas.openxmlformats.org/markup-compatibility/2006">
          <mc:Choice Requires="x14">
            <control shapeId="3206" r:id="rId38" name="Check Box 134">
              <controlPr defaultSize="0" autoFill="0" autoLine="0" autoPict="0">
                <anchor moveWithCells="1">
                  <from>
                    <xdr:col>0</xdr:col>
                    <xdr:colOff>0</xdr:colOff>
                    <xdr:row>114</xdr:row>
                    <xdr:rowOff>28575</xdr:rowOff>
                  </from>
                  <to>
                    <xdr:col>1</xdr:col>
                    <xdr:colOff>200025</xdr:colOff>
                    <xdr:row>114</xdr:row>
                    <xdr:rowOff>152400</xdr:rowOff>
                  </to>
                </anchor>
              </controlPr>
            </control>
          </mc:Choice>
        </mc:AlternateContent>
        <mc:AlternateContent xmlns:mc="http://schemas.openxmlformats.org/markup-compatibility/2006">
          <mc:Choice Requires="x14">
            <control shapeId="3207" r:id="rId39" name="Check Box 135">
              <controlPr defaultSize="0" autoFill="0" autoLine="0" autoPict="0">
                <anchor moveWithCells="1">
                  <from>
                    <xdr:col>2</xdr:col>
                    <xdr:colOff>47625</xdr:colOff>
                    <xdr:row>114</xdr:row>
                    <xdr:rowOff>28575</xdr:rowOff>
                  </from>
                  <to>
                    <xdr:col>4</xdr:col>
                    <xdr:colOff>19050</xdr:colOff>
                    <xdr:row>114</xdr:row>
                    <xdr:rowOff>152400</xdr:rowOff>
                  </to>
                </anchor>
              </controlPr>
            </control>
          </mc:Choice>
        </mc:AlternateContent>
        <mc:AlternateContent xmlns:mc="http://schemas.openxmlformats.org/markup-compatibility/2006">
          <mc:Choice Requires="x14">
            <control shapeId="3208" r:id="rId40" name="Check Box 136">
              <controlPr defaultSize="0" autoFill="0" autoLine="0" autoPict="0">
                <anchor moveWithCells="1">
                  <from>
                    <xdr:col>3</xdr:col>
                    <xdr:colOff>47625</xdr:colOff>
                    <xdr:row>23</xdr:row>
                    <xdr:rowOff>28575</xdr:rowOff>
                  </from>
                  <to>
                    <xdr:col>5</xdr:col>
                    <xdr:colOff>95250</xdr:colOff>
                    <xdr:row>23</xdr:row>
                    <xdr:rowOff>152400</xdr:rowOff>
                  </to>
                </anchor>
              </controlPr>
            </control>
          </mc:Choice>
        </mc:AlternateContent>
        <mc:AlternateContent xmlns:mc="http://schemas.openxmlformats.org/markup-compatibility/2006">
          <mc:Choice Requires="x14">
            <control shapeId="3209" r:id="rId41" name="Check Box 137">
              <controlPr defaultSize="0" autoFill="0" autoLine="0" autoPict="0">
                <anchor moveWithCells="1">
                  <from>
                    <xdr:col>3</xdr:col>
                    <xdr:colOff>47625</xdr:colOff>
                    <xdr:row>24</xdr:row>
                    <xdr:rowOff>28575</xdr:rowOff>
                  </from>
                  <to>
                    <xdr:col>5</xdr:col>
                    <xdr:colOff>95250</xdr:colOff>
                    <xdr:row>24</xdr:row>
                    <xdr:rowOff>152400</xdr:rowOff>
                  </to>
                </anchor>
              </controlPr>
            </control>
          </mc:Choice>
        </mc:AlternateContent>
        <mc:AlternateContent xmlns:mc="http://schemas.openxmlformats.org/markup-compatibility/2006">
          <mc:Choice Requires="x14">
            <control shapeId="3210" r:id="rId42" name="Check Box 138">
              <controlPr defaultSize="0" autoFill="0" autoLine="0" autoPict="0">
                <anchor moveWithCells="1">
                  <from>
                    <xdr:col>3</xdr:col>
                    <xdr:colOff>47625</xdr:colOff>
                    <xdr:row>27</xdr:row>
                    <xdr:rowOff>28575</xdr:rowOff>
                  </from>
                  <to>
                    <xdr:col>5</xdr:col>
                    <xdr:colOff>95250</xdr:colOff>
                    <xdr:row>27</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77"/>
  <sheetViews>
    <sheetView showGridLines="0" topLeftCell="E1" workbookViewId="0">
      <selection activeCell="G3" sqref="G3"/>
    </sheetView>
  </sheetViews>
  <sheetFormatPr defaultRowHeight="12.75" outlineLevelCol="1" x14ac:dyDescent="0.2"/>
  <cols>
    <col min="1" max="1" width="32.85546875" style="180" hidden="1" customWidth="1" outlineLevel="1"/>
    <col min="2" max="4" width="21.5703125" style="180" hidden="1" customWidth="1" outlineLevel="1"/>
    <col min="5" max="5" width="3.7109375" style="182" customWidth="1" collapsed="1"/>
    <col min="6" max="6" width="2.42578125" style="119" customWidth="1"/>
  </cols>
  <sheetData>
    <row r="1" spans="1:7" x14ac:dyDescent="0.2">
      <c r="A1" s="179" t="s">
        <v>196</v>
      </c>
      <c r="E1" s="258" t="s">
        <v>160</v>
      </c>
      <c r="F1" s="186"/>
      <c r="G1" s="2" t="str">
        <f>"Use this sheet if carrying over credits from "&amp;TemplateYear-1</f>
        <v>Use this sheet if carrying over credits from 2020</v>
      </c>
    </row>
    <row r="2" spans="1:7" x14ac:dyDescent="0.2">
      <c r="B2" s="179"/>
      <c r="C2" s="179"/>
      <c r="D2" s="179"/>
      <c r="E2" s="258"/>
      <c r="F2" s="186"/>
      <c r="G2" t="s">
        <v>237</v>
      </c>
    </row>
    <row r="3" spans="1:7" x14ac:dyDescent="0.2">
      <c r="A3" s="180" t="s">
        <v>223</v>
      </c>
      <c r="E3" s="258"/>
      <c r="F3" s="186"/>
    </row>
    <row r="4" spans="1:7" ht="12.75" customHeight="1" x14ac:dyDescent="0.2">
      <c r="E4" s="181"/>
      <c r="F4" s="187"/>
    </row>
    <row r="5" spans="1:7" x14ac:dyDescent="0.2">
      <c r="E5" s="181"/>
      <c r="F5" s="187"/>
    </row>
    <row r="8" spans="1:7" ht="12.75" customHeight="1" x14ac:dyDescent="0.2"/>
    <row r="12" spans="1:7" ht="25.5" customHeight="1" x14ac:dyDescent="0.2"/>
    <row r="13" spans="1:7" ht="25.5" customHeight="1" x14ac:dyDescent="0.2"/>
    <row r="14" spans="1:7" ht="25.5" customHeight="1" x14ac:dyDescent="0.2"/>
    <row r="15" spans="1:7" ht="25.5" customHeight="1" x14ac:dyDescent="0.2"/>
    <row r="16" spans="1:7" ht="25.5" customHeight="1" x14ac:dyDescent="0.2"/>
    <row r="17" ht="25.5" customHeight="1" x14ac:dyDescent="0.2"/>
    <row r="18" ht="25.5" customHeight="1" x14ac:dyDescent="0.2"/>
    <row r="19" ht="25.5" customHeight="1" x14ac:dyDescent="0.2"/>
    <row r="20" ht="25.5" customHeight="1" x14ac:dyDescent="0.2"/>
    <row r="21" ht="25.5" customHeight="1" x14ac:dyDescent="0.2"/>
    <row r="77" spans="6:6" x14ac:dyDescent="0.2">
      <c r="F77" s="98"/>
    </row>
  </sheetData>
  <mergeCells count="1">
    <mergeCell ref="E1:E3"/>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Y73"/>
  <sheetViews>
    <sheetView zoomScale="130" zoomScaleNormal="130" workbookViewId="0">
      <selection activeCell="A20" sqref="A20"/>
    </sheetView>
  </sheetViews>
  <sheetFormatPr defaultColWidth="9.140625" defaultRowHeight="12.75" x14ac:dyDescent="0.2"/>
  <cols>
    <col min="1" max="1" width="113.5703125" style="3" customWidth="1"/>
    <col min="2" max="16384" width="9.140625" style="2"/>
  </cols>
  <sheetData>
    <row r="1" spans="1:25" ht="18" x14ac:dyDescent="0.25">
      <c r="A1" s="51" t="s">
        <v>125</v>
      </c>
      <c r="B1" s="51"/>
      <c r="C1" s="51"/>
      <c r="D1" s="51"/>
      <c r="E1" s="51"/>
      <c r="F1" s="51"/>
      <c r="G1" s="51"/>
      <c r="H1" s="51"/>
      <c r="I1" s="51"/>
      <c r="J1" s="51"/>
      <c r="K1" s="51"/>
      <c r="L1" s="51"/>
      <c r="M1" s="51"/>
      <c r="N1" s="51"/>
      <c r="O1" s="51"/>
      <c r="P1" s="51"/>
      <c r="Q1" s="51"/>
      <c r="R1" s="51"/>
      <c r="S1" s="51"/>
      <c r="T1" s="51"/>
      <c r="U1" s="51"/>
      <c r="V1" s="51"/>
      <c r="W1" s="51"/>
      <c r="X1" s="51"/>
      <c r="Y1" s="51"/>
    </row>
    <row r="2" spans="1:25" ht="38.25" x14ac:dyDescent="0.2">
      <c r="A2" s="3" t="str">
        <f>"Students who anticipate to get their ASA designation in "&amp;TemplateYear+1&amp;" must begin tracking their continuing education activities and meet the USQS in "&amp;TemplateYear&amp;", and again in "&amp;TemplateYear+1&amp;". Because they must satisfy the CE requirement for the should begin tracking the CE activities in "&amp;TemplateYear&amp;"."</f>
        <v>Students who anticipate to get their ASA designation in 2022 must begin tracking their continuing education activities and meet the USQS in 2021, and again in 2022. Because they must satisfy the CE requirement for the should begin tracking the CE activities in 2021.</v>
      </c>
    </row>
    <row r="4" spans="1:25" ht="51" x14ac:dyDescent="0.2">
      <c r="A4" s="47" t="str">
        <f>"ASAs and FSAs must meet the USQS each year, and attest that they are compliant on the SoA website between November 1st and February 28th."&amp;"  Humana expects all of its credentialed actuaries to attest by January 1st to mitigate the risk of someone issuing an SAO at the beginning of the year when actually being compliant with the USQS."&amp;"  Please complete the '"&amp;TemplateYear+1&amp;" Attestation Form' and the '"&amp;TemplateYear&amp;" CE Credits' worksheets."</f>
        <v>ASAs and FSAs must meet the USQS each year, and attest that they are compliant on the SoA website between November 1st and February 28th.  Humana expects all of its credentialed actuaries to attest by January 1st to mitigate the risk of someone issuing an SAO at the beginning of the year when actually being compliant with the USQS.  Please complete the '2022 Attestation Form' and the '2021 CE Credits' worksheets.</v>
      </c>
    </row>
    <row r="6" spans="1:25" x14ac:dyDescent="0.2">
      <c r="A6" s="47" t="s">
        <v>74</v>
      </c>
    </row>
    <row r="7" spans="1:25" ht="23.25" customHeight="1" x14ac:dyDescent="0.2">
      <c r="A7" s="66" t="s">
        <v>75</v>
      </c>
    </row>
    <row r="8" spans="1:25" s="64" customFormat="1" x14ac:dyDescent="0.2">
      <c r="A8" s="40" t="s">
        <v>101</v>
      </c>
    </row>
    <row r="9" spans="1:25" ht="23.25" customHeight="1" x14ac:dyDescent="0.2">
      <c r="A9" s="66" t="s">
        <v>102</v>
      </c>
    </row>
    <row r="10" spans="1:25" s="64" customFormat="1" x14ac:dyDescent="0.2">
      <c r="A10" s="40" t="s">
        <v>103</v>
      </c>
    </row>
    <row r="11" spans="1:25" ht="24.75" customHeight="1" x14ac:dyDescent="0.2">
      <c r="A11" s="66" t="s">
        <v>130</v>
      </c>
    </row>
    <row r="12" spans="1:25" s="64" customFormat="1" x14ac:dyDescent="0.2">
      <c r="A12" s="40" t="s">
        <v>100</v>
      </c>
    </row>
    <row r="13" spans="1:25" ht="23.25" customHeight="1" x14ac:dyDescent="0.2">
      <c r="A13" s="66" t="s">
        <v>76</v>
      </c>
    </row>
    <row r="14" spans="1:25" s="64" customFormat="1" x14ac:dyDescent="0.2">
      <c r="A14" s="40" t="s">
        <v>98</v>
      </c>
    </row>
    <row r="15" spans="1:25" ht="24.75" customHeight="1" x14ac:dyDescent="0.2">
      <c r="A15" s="66" t="s">
        <v>77</v>
      </c>
    </row>
    <row r="16" spans="1:25" s="63" customFormat="1" x14ac:dyDescent="0.2">
      <c r="A16" s="40" t="s">
        <v>97</v>
      </c>
    </row>
    <row r="17" spans="1:25" ht="24.75" customHeight="1" x14ac:dyDescent="0.2">
      <c r="A17" s="66" t="s">
        <v>79</v>
      </c>
    </row>
    <row r="18" spans="1:25" s="65" customFormat="1" x14ac:dyDescent="0.2">
      <c r="A18" s="41" t="s">
        <v>96</v>
      </c>
    </row>
    <row r="19" spans="1:25" ht="24.75" customHeight="1" x14ac:dyDescent="0.2">
      <c r="A19" s="66" t="s">
        <v>221</v>
      </c>
    </row>
    <row r="20" spans="1:25" s="64" customFormat="1" x14ac:dyDescent="0.2">
      <c r="A20" s="40" t="s">
        <v>131</v>
      </c>
    </row>
    <row r="21" spans="1:25" ht="24.75" customHeight="1" x14ac:dyDescent="0.2">
      <c r="A21" s="66" t="s">
        <v>78</v>
      </c>
    </row>
    <row r="22" spans="1:25" s="63" customFormat="1" x14ac:dyDescent="0.2">
      <c r="A22" s="40" t="s">
        <v>95</v>
      </c>
    </row>
    <row r="25" spans="1:25" ht="18" x14ac:dyDescent="0.25">
      <c r="A25" s="51" t="str">
        <f>TemplateYear&amp;" Attestation Form"</f>
        <v>2021 Attestation Form</v>
      </c>
      <c r="B25" s="51"/>
      <c r="C25" s="51"/>
      <c r="D25" s="51"/>
      <c r="E25" s="51"/>
      <c r="F25" s="51"/>
      <c r="G25" s="51"/>
      <c r="H25" s="51"/>
      <c r="I25" s="51"/>
      <c r="J25" s="51"/>
      <c r="K25" s="51"/>
      <c r="L25" s="51"/>
      <c r="M25" s="51"/>
      <c r="N25" s="51"/>
      <c r="O25" s="51"/>
      <c r="P25" s="51"/>
      <c r="Q25" s="51"/>
      <c r="R25" s="51"/>
      <c r="S25" s="51"/>
      <c r="T25" s="51"/>
      <c r="U25" s="51"/>
      <c r="V25" s="51"/>
      <c r="W25" s="51"/>
      <c r="X25" s="51"/>
      <c r="Y25" s="51"/>
    </row>
    <row r="26" spans="1:25" ht="15" x14ac:dyDescent="0.25">
      <c r="A26" s="50" t="s">
        <v>6</v>
      </c>
      <c r="B26" s="50"/>
      <c r="C26" s="50"/>
      <c r="D26" s="50"/>
      <c r="E26" s="50"/>
      <c r="F26" s="50"/>
      <c r="G26" s="50"/>
      <c r="H26" s="50"/>
      <c r="I26" s="50"/>
      <c r="J26" s="50"/>
      <c r="K26" s="50"/>
      <c r="L26" s="50"/>
      <c r="M26" s="50"/>
      <c r="N26" s="50"/>
      <c r="O26" s="50"/>
      <c r="P26" s="50"/>
      <c r="Q26" s="50"/>
      <c r="R26" s="50"/>
      <c r="S26" s="50"/>
      <c r="T26" s="50"/>
      <c r="U26" s="50"/>
      <c r="V26" s="50"/>
      <c r="W26" s="50"/>
      <c r="X26" s="50"/>
      <c r="Y26" s="50"/>
    </row>
    <row r="27" spans="1:25" x14ac:dyDescent="0.2">
      <c r="A27" s="305" t="s">
        <v>7</v>
      </c>
      <c r="B27" s="305"/>
      <c r="C27" s="305"/>
      <c r="D27" s="305"/>
      <c r="E27" s="305"/>
      <c r="F27" s="305"/>
      <c r="G27" s="305"/>
      <c r="H27" s="305"/>
      <c r="I27" s="305"/>
      <c r="J27" s="305"/>
      <c r="K27" s="305"/>
      <c r="L27" s="305"/>
      <c r="M27" s="305"/>
      <c r="N27" s="305"/>
      <c r="O27" s="305"/>
      <c r="P27" s="305"/>
      <c r="Q27" s="305"/>
      <c r="R27" s="306"/>
      <c r="S27" s="306"/>
      <c r="T27" s="306"/>
      <c r="U27" s="306"/>
      <c r="V27" s="306"/>
      <c r="W27" s="306"/>
      <c r="X27" s="306"/>
      <c r="Y27" s="306"/>
    </row>
    <row r="28" spans="1:25" x14ac:dyDescent="0.2">
      <c r="A28" s="54" t="s">
        <v>80</v>
      </c>
      <c r="B28" s="60"/>
      <c r="C28" s="60"/>
      <c r="D28" s="60"/>
      <c r="E28" s="60"/>
      <c r="F28" s="60"/>
      <c r="G28" s="60"/>
      <c r="H28" s="60"/>
      <c r="I28" s="60"/>
      <c r="J28" s="60"/>
      <c r="K28" s="60"/>
      <c r="L28" s="60"/>
      <c r="M28" s="60"/>
      <c r="N28" s="60"/>
      <c r="O28" s="60"/>
      <c r="P28" s="60"/>
      <c r="Q28" s="60"/>
      <c r="R28" s="60"/>
      <c r="S28" s="60"/>
      <c r="T28" s="60"/>
      <c r="U28" s="60"/>
      <c r="V28" s="60"/>
      <c r="W28" s="60"/>
      <c r="X28" s="60"/>
      <c r="Y28" s="60"/>
    </row>
    <row r="29" spans="1:25" x14ac:dyDescent="0.2">
      <c r="A29" s="305" t="s">
        <v>81</v>
      </c>
      <c r="B29" s="305"/>
      <c r="C29" s="305"/>
      <c r="D29" s="305"/>
      <c r="E29" s="305"/>
      <c r="F29" s="305"/>
      <c r="G29" s="305"/>
      <c r="H29" s="305"/>
      <c r="I29" s="305"/>
      <c r="J29" s="305"/>
      <c r="K29" s="305"/>
      <c r="L29" s="305"/>
      <c r="M29" s="305"/>
      <c r="N29" s="305"/>
      <c r="O29" s="305"/>
      <c r="P29" s="305"/>
      <c r="Q29" s="305"/>
      <c r="R29" s="306"/>
      <c r="S29" s="306"/>
      <c r="T29" s="306"/>
      <c r="U29" s="306"/>
      <c r="V29" s="306"/>
      <c r="W29" s="306"/>
      <c r="X29" s="306"/>
      <c r="Y29" s="306"/>
    </row>
    <row r="30" spans="1:25" x14ac:dyDescent="0.2">
      <c r="A30" s="54" t="s">
        <v>82</v>
      </c>
    </row>
    <row r="31" spans="1:25" x14ac:dyDescent="0.2">
      <c r="A31" s="54" t="s">
        <v>83</v>
      </c>
    </row>
    <row r="32" spans="1:25" ht="15" x14ac:dyDescent="0.25">
      <c r="A32" s="62" t="s">
        <v>84</v>
      </c>
      <c r="B32" s="50"/>
      <c r="C32" s="50"/>
      <c r="D32" s="50"/>
      <c r="E32" s="50"/>
      <c r="F32" s="50"/>
      <c r="G32" s="50"/>
      <c r="H32" s="50"/>
      <c r="I32" s="50"/>
      <c r="J32" s="50"/>
      <c r="K32" s="50"/>
      <c r="L32" s="50"/>
      <c r="M32" s="50"/>
      <c r="N32" s="50"/>
      <c r="O32" s="50"/>
      <c r="P32" s="50"/>
      <c r="Q32" s="50"/>
      <c r="R32" s="50"/>
      <c r="S32" s="50"/>
      <c r="T32" s="50"/>
      <c r="U32" s="50"/>
      <c r="V32" s="50"/>
      <c r="W32" s="50"/>
      <c r="X32" s="50"/>
      <c r="Y32" s="50"/>
    </row>
    <row r="33" spans="1:25" ht="15" x14ac:dyDescent="0.25">
      <c r="A33" s="61" t="s">
        <v>11</v>
      </c>
      <c r="B33" s="50"/>
      <c r="C33" s="50"/>
      <c r="D33" s="50"/>
      <c r="E33" s="50"/>
      <c r="F33" s="50"/>
      <c r="G33" s="50"/>
      <c r="H33" s="50"/>
      <c r="I33" s="50"/>
      <c r="J33" s="50"/>
      <c r="K33" s="50"/>
      <c r="L33" s="50"/>
      <c r="M33" s="50"/>
      <c r="N33" s="50"/>
      <c r="O33" s="50"/>
      <c r="P33" s="50"/>
      <c r="Q33" s="50"/>
      <c r="R33" s="50"/>
      <c r="S33" s="50"/>
      <c r="T33" s="50"/>
      <c r="U33" s="50"/>
      <c r="V33" s="50"/>
      <c r="W33" s="50"/>
      <c r="X33" s="50"/>
      <c r="Y33" s="50"/>
    </row>
    <row r="34" spans="1:25" ht="15" x14ac:dyDescent="0.25">
      <c r="A34" s="61" t="s">
        <v>13</v>
      </c>
      <c r="B34" s="50"/>
      <c r="C34" s="50"/>
      <c r="D34" s="50"/>
      <c r="E34" s="50"/>
      <c r="F34" s="50"/>
      <c r="G34" s="50"/>
      <c r="H34" s="50"/>
      <c r="I34" s="50"/>
      <c r="J34" s="50"/>
      <c r="K34" s="50"/>
      <c r="L34" s="50"/>
      <c r="M34" s="50"/>
      <c r="N34" s="50"/>
      <c r="O34" s="50"/>
      <c r="P34" s="50"/>
      <c r="Q34" s="50"/>
      <c r="R34" s="50"/>
      <c r="S34" s="50"/>
      <c r="T34" s="50"/>
      <c r="U34" s="50"/>
      <c r="V34" s="50"/>
      <c r="W34" s="50"/>
      <c r="X34" s="50"/>
      <c r="Y34" s="50"/>
    </row>
    <row r="35" spans="1:25" ht="15" x14ac:dyDescent="0.25">
      <c r="A35" s="61" t="s">
        <v>14</v>
      </c>
      <c r="B35" s="50"/>
      <c r="C35" s="50"/>
      <c r="D35" s="50"/>
      <c r="E35" s="50"/>
      <c r="F35" s="50"/>
      <c r="G35" s="50"/>
      <c r="H35" s="50"/>
      <c r="I35" s="50"/>
      <c r="J35" s="50"/>
      <c r="K35" s="50"/>
      <c r="L35" s="50"/>
      <c r="M35" s="50"/>
      <c r="N35" s="50"/>
      <c r="O35" s="50"/>
      <c r="P35" s="50"/>
      <c r="Q35" s="50"/>
      <c r="R35" s="50"/>
      <c r="S35" s="50"/>
      <c r="T35" s="50"/>
      <c r="U35" s="50"/>
      <c r="V35" s="50"/>
      <c r="W35" s="50"/>
      <c r="X35" s="50"/>
      <c r="Y35" s="50"/>
    </row>
    <row r="36" spans="1:25" ht="15" x14ac:dyDescent="0.25">
      <c r="A36" s="61" t="s">
        <v>15</v>
      </c>
      <c r="B36" s="50"/>
      <c r="C36" s="50"/>
      <c r="D36" s="50"/>
      <c r="E36" s="50"/>
      <c r="F36" s="50"/>
      <c r="G36" s="50"/>
      <c r="H36" s="50"/>
      <c r="I36" s="50"/>
      <c r="J36" s="50"/>
      <c r="K36" s="50"/>
      <c r="L36" s="50"/>
      <c r="M36" s="50"/>
      <c r="N36" s="50"/>
      <c r="O36" s="50"/>
      <c r="P36" s="50"/>
      <c r="Q36" s="50"/>
      <c r="R36" s="50"/>
      <c r="S36" s="50"/>
      <c r="T36" s="50"/>
      <c r="U36" s="50"/>
      <c r="V36" s="50"/>
      <c r="W36" s="50"/>
      <c r="X36" s="50"/>
      <c r="Y36" s="50"/>
    </row>
    <row r="37" spans="1:25" ht="15" x14ac:dyDescent="0.25">
      <c r="A37" s="61" t="s">
        <v>16</v>
      </c>
      <c r="B37" s="50"/>
      <c r="C37" s="50"/>
      <c r="D37" s="50"/>
      <c r="E37" s="50"/>
      <c r="F37" s="50"/>
      <c r="G37" s="50"/>
      <c r="H37" s="50"/>
      <c r="I37" s="50"/>
      <c r="J37" s="50"/>
      <c r="K37" s="50"/>
      <c r="L37" s="50"/>
      <c r="M37" s="50"/>
      <c r="N37" s="50"/>
      <c r="O37" s="50"/>
      <c r="P37" s="50"/>
      <c r="Q37" s="50"/>
      <c r="R37" s="50"/>
      <c r="S37" s="50"/>
      <c r="T37" s="50"/>
      <c r="U37" s="50"/>
      <c r="V37" s="50"/>
      <c r="W37" s="50"/>
      <c r="X37" s="50"/>
      <c r="Y37" s="50"/>
    </row>
    <row r="38" spans="1:25" ht="15" x14ac:dyDescent="0.25">
      <c r="A38" s="61" t="s">
        <v>17</v>
      </c>
      <c r="B38" s="50"/>
      <c r="C38" s="50"/>
      <c r="D38" s="50"/>
      <c r="E38" s="50"/>
      <c r="F38" s="50"/>
      <c r="G38" s="50"/>
      <c r="H38" s="50"/>
      <c r="I38" s="50"/>
      <c r="J38" s="50"/>
      <c r="K38" s="50"/>
      <c r="L38" s="50"/>
      <c r="M38" s="50"/>
      <c r="N38" s="50"/>
      <c r="O38" s="50"/>
      <c r="P38" s="50"/>
      <c r="Q38" s="50"/>
      <c r="R38" s="50"/>
      <c r="S38" s="50"/>
      <c r="T38" s="50"/>
      <c r="U38" s="50"/>
      <c r="V38" s="50"/>
      <c r="W38" s="50"/>
      <c r="X38" s="50"/>
      <c r="Y38" s="50"/>
    </row>
    <row r="39" spans="1:25" x14ac:dyDescent="0.2">
      <c r="A39" s="54" t="s">
        <v>85</v>
      </c>
    </row>
    <row r="40" spans="1:25" x14ac:dyDescent="0.2">
      <c r="A40" s="307" t="s">
        <v>21</v>
      </c>
      <c r="B40" s="307"/>
      <c r="C40" s="307"/>
      <c r="D40" s="307"/>
      <c r="E40" s="307"/>
      <c r="F40" s="307"/>
      <c r="G40" s="307"/>
      <c r="H40" s="307"/>
      <c r="I40" s="307"/>
      <c r="J40" s="307"/>
      <c r="K40" s="307"/>
      <c r="L40" s="307"/>
      <c r="M40" s="307"/>
      <c r="N40" s="307"/>
      <c r="O40" s="307"/>
      <c r="P40" s="307"/>
      <c r="Q40" s="307"/>
      <c r="R40" s="307"/>
      <c r="S40" s="307"/>
      <c r="T40" s="307"/>
      <c r="U40" s="307"/>
      <c r="V40" s="307"/>
      <c r="W40" s="307"/>
      <c r="X40" s="307"/>
      <c r="Y40" s="307"/>
    </row>
    <row r="41" spans="1:25" x14ac:dyDescent="0.2">
      <c r="A41" s="54" t="s">
        <v>86</v>
      </c>
      <c r="B41" s="60"/>
      <c r="C41" s="60"/>
      <c r="D41" s="60"/>
      <c r="E41" s="60"/>
      <c r="F41" s="60"/>
      <c r="G41" s="60"/>
      <c r="H41" s="60"/>
      <c r="I41" s="60"/>
      <c r="J41" s="60"/>
      <c r="K41" s="60"/>
      <c r="L41" s="60"/>
      <c r="M41" s="60"/>
      <c r="N41" s="60"/>
      <c r="O41" s="60"/>
      <c r="P41" s="60"/>
      <c r="Q41" s="60"/>
      <c r="R41" s="60"/>
      <c r="S41" s="60"/>
      <c r="T41" s="60"/>
      <c r="U41" s="60"/>
      <c r="V41" s="60"/>
      <c r="W41" s="60"/>
      <c r="X41" s="60"/>
      <c r="Y41" s="60"/>
    </row>
    <row r="42" spans="1:25" x14ac:dyDescent="0.2">
      <c r="A42" s="307" t="s">
        <v>22</v>
      </c>
      <c r="B42" s="307"/>
      <c r="C42" s="307"/>
      <c r="D42" s="307"/>
      <c r="E42" s="307"/>
      <c r="F42" s="307"/>
      <c r="G42" s="307"/>
      <c r="H42" s="307"/>
      <c r="I42" s="307"/>
      <c r="J42" s="307"/>
      <c r="K42" s="307"/>
      <c r="L42" s="307"/>
      <c r="M42" s="307"/>
      <c r="N42" s="307"/>
      <c r="O42" s="307"/>
      <c r="P42" s="307"/>
      <c r="Q42" s="307"/>
      <c r="R42" s="307"/>
      <c r="S42" s="307"/>
      <c r="T42" s="307"/>
      <c r="U42" s="307"/>
      <c r="V42" s="307"/>
      <c r="W42" s="307"/>
      <c r="X42" s="307"/>
      <c r="Y42" s="307"/>
    </row>
    <row r="43" spans="1:25" x14ac:dyDescent="0.2">
      <c r="A43" s="54" t="str">
        <f>"Please complete the '"&amp;TemplateYear&amp;" CE Credits' worksheet in this file."</f>
        <v>Please complete the '2021 CE Credits' worksheet in this file.</v>
      </c>
    </row>
    <row r="44" spans="1:25" x14ac:dyDescent="0.2">
      <c r="A44" s="59"/>
    </row>
    <row r="45" spans="1:25" ht="15" x14ac:dyDescent="0.25">
      <c r="A45" s="50" t="s">
        <v>26</v>
      </c>
      <c r="B45" s="50"/>
      <c r="C45" s="50"/>
      <c r="D45" s="50"/>
      <c r="E45" s="50"/>
      <c r="F45" s="50"/>
      <c r="G45" s="50"/>
      <c r="H45" s="50"/>
      <c r="I45" s="50"/>
      <c r="J45" s="50"/>
      <c r="K45" s="50"/>
      <c r="L45" s="50"/>
      <c r="M45" s="50"/>
      <c r="N45" s="50"/>
      <c r="O45" s="50"/>
      <c r="P45" s="50"/>
      <c r="Q45" s="50"/>
      <c r="R45" s="50"/>
      <c r="S45" s="50"/>
      <c r="T45" s="50"/>
      <c r="U45" s="50"/>
      <c r="V45" s="50"/>
      <c r="W45" s="50"/>
      <c r="X45" s="50"/>
      <c r="Y45" s="50"/>
    </row>
    <row r="46" spans="1:25" s="3" customFormat="1" ht="25.5" x14ac:dyDescent="0.2">
      <c r="A46" s="58" t="s">
        <v>123</v>
      </c>
    </row>
    <row r="47" spans="1:25" x14ac:dyDescent="0.2">
      <c r="A47" s="57" t="s">
        <v>87</v>
      </c>
    </row>
    <row r="48" spans="1:25" x14ac:dyDescent="0.2">
      <c r="A48" s="56" t="s">
        <v>38</v>
      </c>
      <c r="B48" s="56"/>
      <c r="C48" s="56"/>
      <c r="D48" s="56"/>
      <c r="E48" s="56"/>
      <c r="F48" s="56"/>
      <c r="G48" s="56"/>
      <c r="H48" s="56"/>
      <c r="I48" s="56"/>
      <c r="J48" s="56"/>
      <c r="K48" s="56"/>
      <c r="L48" s="56"/>
      <c r="M48" s="56"/>
      <c r="N48" s="56"/>
      <c r="O48" s="56"/>
      <c r="P48" s="56"/>
      <c r="Q48" s="56"/>
      <c r="R48" s="55"/>
      <c r="S48" s="55"/>
      <c r="T48" s="55"/>
      <c r="U48" s="55"/>
      <c r="V48" s="55"/>
      <c r="W48" s="55"/>
      <c r="X48" s="55"/>
      <c r="Y48" s="55"/>
    </row>
    <row r="49" spans="1:25" x14ac:dyDescent="0.2">
      <c r="A49" s="54" t="s">
        <v>58</v>
      </c>
    </row>
    <row r="50" spans="1:25" ht="13.5" customHeight="1" x14ac:dyDescent="0.2">
      <c r="A50" s="53" t="str">
        <f>"Type your name and enter the date, and complete Humana's tracking report '"&amp;TemplateYear&amp;" CE Credits' before submitting this file to your reviewer."</f>
        <v>Type your name and enter the date, and complete Humana's tracking report '2021 CE Credits' before submitting this file to your reviewer.</v>
      </c>
    </row>
    <row r="51" spans="1:25" x14ac:dyDescent="0.2">
      <c r="A51" s="53" t="s">
        <v>88</v>
      </c>
    </row>
    <row r="52" spans="1:25" x14ac:dyDescent="0.2">
      <c r="A52" s="52"/>
    </row>
    <row r="54" spans="1:25" ht="18" x14ac:dyDescent="0.25">
      <c r="A54" s="51" t="s">
        <v>89</v>
      </c>
      <c r="B54" s="50"/>
      <c r="C54" s="50"/>
      <c r="D54" s="50"/>
      <c r="E54" s="50"/>
      <c r="F54" s="50"/>
      <c r="G54" s="50"/>
      <c r="H54" s="50"/>
      <c r="I54" s="50"/>
      <c r="J54" s="50"/>
      <c r="K54" s="50"/>
      <c r="L54" s="50"/>
      <c r="M54" s="50"/>
      <c r="N54" s="50"/>
      <c r="O54" s="50"/>
      <c r="P54" s="50"/>
      <c r="Q54" s="50"/>
      <c r="R54" s="50"/>
      <c r="S54" s="50"/>
      <c r="T54" s="50"/>
      <c r="U54" s="50"/>
      <c r="V54" s="50"/>
      <c r="W54" s="50"/>
      <c r="X54" s="50"/>
      <c r="Y54" s="50"/>
    </row>
    <row r="55" spans="1:25" x14ac:dyDescent="0.2">
      <c r="A55" s="49" t="s">
        <v>42</v>
      </c>
    </row>
    <row r="56" spans="1:25" x14ac:dyDescent="0.2">
      <c r="A56" s="48" t="s">
        <v>90</v>
      </c>
    </row>
    <row r="58" spans="1:25" ht="51" x14ac:dyDescent="0.2">
      <c r="A58" s="3" t="s">
        <v>91</v>
      </c>
    </row>
    <row r="60" spans="1:25" ht="76.5" x14ac:dyDescent="0.2">
      <c r="A60" s="3" t="s">
        <v>104</v>
      </c>
    </row>
    <row r="62" spans="1:25" ht="89.25" x14ac:dyDescent="0.2">
      <c r="A62" s="47" t="s">
        <v>94</v>
      </c>
    </row>
    <row r="64" spans="1:25" ht="76.5" x14ac:dyDescent="0.2">
      <c r="A64" s="47" t="s">
        <v>92</v>
      </c>
    </row>
    <row r="66" spans="1:25" x14ac:dyDescent="0.2">
      <c r="A66" s="46" t="s">
        <v>48</v>
      </c>
      <c r="B66" s="46"/>
      <c r="C66" s="46"/>
      <c r="D66" s="46"/>
      <c r="E66" s="46"/>
      <c r="F66" s="46"/>
      <c r="G66" s="46"/>
      <c r="H66" s="46"/>
      <c r="I66" s="46"/>
      <c r="J66" s="46"/>
      <c r="K66" s="46"/>
      <c r="L66" s="46"/>
      <c r="M66" s="46"/>
      <c r="N66" s="46"/>
      <c r="O66" s="46"/>
      <c r="P66" s="46"/>
      <c r="Q66" s="46"/>
      <c r="R66" s="46"/>
      <c r="S66" s="46"/>
      <c r="T66" s="46"/>
      <c r="U66" s="46"/>
      <c r="V66" s="46"/>
      <c r="W66" s="46"/>
      <c r="X66" s="46"/>
      <c r="Y66" s="46"/>
    </row>
    <row r="68" spans="1:25" x14ac:dyDescent="0.2">
      <c r="A68" s="45" t="s">
        <v>49</v>
      </c>
    </row>
    <row r="69" spans="1:25" ht="38.25" x14ac:dyDescent="0.2">
      <c r="A69" s="44" t="s">
        <v>51</v>
      </c>
      <c r="B69" s="43"/>
      <c r="C69" s="43"/>
      <c r="D69" s="43"/>
      <c r="E69" s="43"/>
      <c r="F69" s="43"/>
      <c r="G69" s="43"/>
      <c r="H69" s="43"/>
      <c r="I69" s="43"/>
      <c r="J69" s="43"/>
      <c r="K69" s="43"/>
      <c r="L69" s="43"/>
      <c r="M69" s="43"/>
      <c r="N69" s="43"/>
      <c r="O69" s="43"/>
      <c r="P69" s="43"/>
      <c r="Q69" s="43"/>
      <c r="R69" s="43"/>
      <c r="S69" s="43"/>
      <c r="T69" s="43"/>
      <c r="U69" s="43"/>
      <c r="V69" s="43"/>
      <c r="W69" s="43"/>
      <c r="X69" s="43"/>
    </row>
    <row r="70" spans="1:25" x14ac:dyDescent="0.2">
      <c r="A70" s="43"/>
      <c r="B70" s="43"/>
      <c r="C70" s="43"/>
      <c r="D70" s="43"/>
      <c r="E70" s="43"/>
      <c r="F70" s="43"/>
      <c r="G70" s="43"/>
      <c r="H70" s="43"/>
      <c r="I70" s="43"/>
      <c r="J70" s="43"/>
      <c r="K70" s="43"/>
      <c r="L70" s="43"/>
      <c r="M70" s="43"/>
      <c r="N70" s="43"/>
      <c r="O70" s="43"/>
      <c r="P70" s="43"/>
      <c r="Q70" s="43"/>
      <c r="R70" s="43"/>
      <c r="S70" s="43"/>
      <c r="T70" s="43"/>
      <c r="U70" s="43"/>
      <c r="V70" s="43"/>
      <c r="W70" s="43"/>
      <c r="X70" s="43"/>
    </row>
    <row r="71" spans="1:25" ht="38.25" x14ac:dyDescent="0.2">
      <c r="A71" s="44" t="s">
        <v>53</v>
      </c>
      <c r="B71" s="43"/>
      <c r="C71" s="43"/>
      <c r="D71" s="43"/>
      <c r="E71" s="43"/>
      <c r="F71" s="43"/>
      <c r="G71" s="43"/>
      <c r="H71" s="43"/>
      <c r="I71" s="43"/>
      <c r="J71" s="43"/>
      <c r="K71" s="43"/>
      <c r="L71" s="43"/>
      <c r="M71" s="43"/>
      <c r="N71" s="43"/>
      <c r="O71" s="43"/>
      <c r="P71" s="43"/>
      <c r="Q71" s="43"/>
      <c r="R71" s="43"/>
      <c r="S71" s="43"/>
      <c r="T71" s="43"/>
      <c r="U71" s="43"/>
      <c r="V71" s="43"/>
      <c r="W71" s="43"/>
      <c r="X71" s="43"/>
    </row>
    <row r="72" spans="1:25" x14ac:dyDescent="0.2">
      <c r="A72" s="43"/>
      <c r="B72" s="43"/>
      <c r="C72" s="43"/>
      <c r="D72" s="43"/>
      <c r="E72" s="43"/>
      <c r="F72" s="43"/>
      <c r="G72" s="43"/>
      <c r="H72" s="43"/>
      <c r="I72" s="43"/>
      <c r="J72" s="43"/>
      <c r="K72" s="43"/>
      <c r="L72" s="43"/>
      <c r="M72" s="43"/>
      <c r="N72" s="43"/>
      <c r="O72" s="43"/>
      <c r="P72" s="43"/>
      <c r="Q72" s="43"/>
      <c r="R72" s="43"/>
      <c r="S72" s="43"/>
      <c r="T72" s="43"/>
      <c r="U72" s="43"/>
      <c r="V72" s="43"/>
      <c r="W72" s="43"/>
      <c r="X72" s="43"/>
    </row>
    <row r="73" spans="1:25" ht="38.25" x14ac:dyDescent="0.2">
      <c r="A73" s="44" t="s">
        <v>55</v>
      </c>
      <c r="B73" s="43"/>
      <c r="C73" s="43"/>
      <c r="D73" s="43"/>
      <c r="E73" s="43"/>
      <c r="F73" s="43"/>
      <c r="G73" s="43"/>
      <c r="H73" s="43"/>
      <c r="I73" s="43"/>
      <c r="J73" s="43"/>
      <c r="K73" s="43"/>
      <c r="L73" s="43"/>
      <c r="M73" s="43"/>
      <c r="N73" s="43"/>
      <c r="O73" s="43"/>
      <c r="P73" s="43"/>
      <c r="Q73" s="43"/>
      <c r="R73" s="43"/>
      <c r="S73" s="43"/>
      <c r="T73" s="43"/>
      <c r="U73" s="43"/>
      <c r="V73" s="43"/>
      <c r="W73" s="43"/>
      <c r="X73" s="43"/>
    </row>
  </sheetData>
  <mergeCells count="4">
    <mergeCell ref="A27:Y27"/>
    <mergeCell ref="A29:Y29"/>
    <mergeCell ref="A40:Y40"/>
    <mergeCell ref="A42:Y42"/>
  </mergeCells>
  <hyperlinks>
    <hyperlink ref="A14" r:id="rId1"/>
    <hyperlink ref="A16" r:id="rId2"/>
    <hyperlink ref="A12" r:id="rId3"/>
    <hyperlink ref="A8" r:id="rId4"/>
    <hyperlink ref="A18" r:id="rId5"/>
    <hyperlink ref="A20" r:id="rId6"/>
    <hyperlink ref="A22" r:id="rId7"/>
    <hyperlink ref="A10" r:id="rId8"/>
  </hyperlinks>
  <pageMargins left="0.7" right="0.7" top="0.75" bottom="0.75" header="0.3" footer="0.3"/>
  <pageSetup scale="29" fitToHeight="0" orientation="portrait" r:id="rId9"/>
  <headerFooter>
    <oddHeader>&amp;L&amp;F&amp;R&amp;A</oddHeader>
    <oddFooter>&amp;CPage &amp;P of &amp;N&amp;R&amp;D</oddFooter>
  </headerFooter>
  <rowBreaks count="1" manualBreakCount="1">
    <brk id="53"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B7"/>
  <sheetViews>
    <sheetView zoomScale="160" zoomScaleNormal="160" workbookViewId="0">
      <selection activeCell="B5" sqref="B5"/>
    </sheetView>
  </sheetViews>
  <sheetFormatPr defaultRowHeight="12.75" x14ac:dyDescent="0.2"/>
  <cols>
    <col min="1" max="1" width="17.28515625" customWidth="1"/>
    <col min="2" max="2" width="81.140625" bestFit="1" customWidth="1"/>
  </cols>
  <sheetData>
    <row r="1" spans="1:2" ht="15" x14ac:dyDescent="0.25">
      <c r="A1" s="67" t="s">
        <v>222</v>
      </c>
      <c r="B1" s="42"/>
    </row>
    <row r="3" spans="1:2" x14ac:dyDescent="0.2">
      <c r="A3" s="67">
        <f>DATE(TemplateYear,11,1)</f>
        <v>44501</v>
      </c>
      <c r="B3" s="38" t="s">
        <v>93</v>
      </c>
    </row>
    <row r="4" spans="1:2" x14ac:dyDescent="0.2">
      <c r="B4" s="38"/>
    </row>
    <row r="5" spans="1:2" x14ac:dyDescent="0.2">
      <c r="A5" s="67">
        <f>DATE(TemplateYear,12,15)</f>
        <v>44545</v>
      </c>
      <c r="B5" s="38" t="s">
        <v>99</v>
      </c>
    </row>
    <row r="6" spans="1:2" x14ac:dyDescent="0.2">
      <c r="B6" s="38"/>
    </row>
    <row r="7" spans="1:2" x14ac:dyDescent="0.2">
      <c r="A7" s="67">
        <f>DATE(TemplateYear+1,0,31)</f>
        <v>44561</v>
      </c>
      <c r="B7" s="38" t="s">
        <v>124</v>
      </c>
    </row>
  </sheetData>
  <pageMargins left="1" right="1" top="1" bottom="1" header="0.5" footer="0.5"/>
  <pageSetup scale="85" orientation="portrait" r:id="rId1"/>
  <headerFooter>
    <oddHeader>&amp;L&amp;F&amp;R&amp;A</oddHeader>
    <oddFooter>&amp;Cpage &amp;P of &amp;N&amp;R&amp;D</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1"/>
  <sheetViews>
    <sheetView workbookViewId="0">
      <selection activeCell="I21" sqref="I21"/>
    </sheetView>
  </sheetViews>
  <sheetFormatPr defaultRowHeight="12.75" x14ac:dyDescent="0.2"/>
  <cols>
    <col min="1" max="1" width="18.5703125" bestFit="1" customWidth="1"/>
    <col min="2" max="2" width="2.5703125" style="79" customWidth="1"/>
    <col min="3" max="3" width="9.42578125" bestFit="1" customWidth="1"/>
    <col min="4" max="4" width="2.5703125" style="79" customWidth="1"/>
    <col min="5" max="5" width="9.5703125" bestFit="1" customWidth="1"/>
    <col min="6" max="6" width="2.5703125" style="79" customWidth="1"/>
    <col min="7" max="7" width="17" bestFit="1" customWidth="1"/>
    <col min="8" max="8" width="2.5703125" style="79" customWidth="1"/>
    <col min="9" max="9" width="17.85546875" bestFit="1" customWidth="1"/>
    <col min="10" max="10" width="2.5703125" style="79" customWidth="1"/>
    <col min="11" max="11" width="17" bestFit="1" customWidth="1"/>
    <col min="12" max="12" width="2.5703125" style="79" customWidth="1"/>
    <col min="13" max="13" width="18.140625" customWidth="1"/>
    <col min="14" max="14" width="2.5703125" style="79" customWidth="1"/>
    <col min="15" max="15" width="98.140625" bestFit="1" customWidth="1"/>
    <col min="16" max="16" width="2.5703125" style="79" customWidth="1"/>
    <col min="17" max="17" width="49" bestFit="1" customWidth="1"/>
  </cols>
  <sheetData>
    <row r="1" spans="1:17" ht="13.5" thickBot="1" x14ac:dyDescent="0.25">
      <c r="A1" s="71" t="s">
        <v>59</v>
      </c>
      <c r="C1" s="71" t="s">
        <v>148</v>
      </c>
      <c r="E1" s="71" t="s">
        <v>137</v>
      </c>
      <c r="G1" s="71" t="s">
        <v>150</v>
      </c>
      <c r="I1" s="71" t="s">
        <v>151</v>
      </c>
      <c r="M1" s="69" t="s">
        <v>143</v>
      </c>
      <c r="N1" s="80"/>
      <c r="O1" s="78" t="s">
        <v>121</v>
      </c>
      <c r="P1" s="80"/>
      <c r="Q1" s="69" t="s">
        <v>122</v>
      </c>
    </row>
    <row r="2" spans="1:17" ht="15" x14ac:dyDescent="0.25">
      <c r="A2" s="75" t="s">
        <v>8</v>
      </c>
      <c r="C2" s="75" t="s">
        <v>60</v>
      </c>
      <c r="E2" s="75" t="s">
        <v>63</v>
      </c>
      <c r="G2" s="75" t="s">
        <v>65</v>
      </c>
      <c r="I2" s="219" t="s">
        <v>230</v>
      </c>
      <c r="K2" s="217"/>
      <c r="M2" s="76" t="s">
        <v>142</v>
      </c>
      <c r="N2" s="81"/>
      <c r="O2" s="73" t="s">
        <v>110</v>
      </c>
      <c r="P2" s="81"/>
      <c r="Q2" s="70" t="s">
        <v>111</v>
      </c>
    </row>
    <row r="3" spans="1:17" ht="15" x14ac:dyDescent="0.25">
      <c r="A3" s="76" t="s">
        <v>9</v>
      </c>
      <c r="C3" s="76" t="s">
        <v>72</v>
      </c>
      <c r="E3" s="76" t="s">
        <v>64</v>
      </c>
      <c r="G3" s="76" t="s">
        <v>66</v>
      </c>
      <c r="I3" s="220" t="s">
        <v>132</v>
      </c>
      <c r="K3" s="217"/>
      <c r="M3" s="76" t="s">
        <v>154</v>
      </c>
      <c r="N3" s="81"/>
      <c r="O3" s="73" t="s">
        <v>112</v>
      </c>
      <c r="P3" s="81"/>
      <c r="Q3" s="70" t="s">
        <v>113</v>
      </c>
    </row>
    <row r="4" spans="1:17" ht="15.75" thickBot="1" x14ac:dyDescent="0.3">
      <c r="A4" s="222" t="s">
        <v>231</v>
      </c>
      <c r="C4" s="76" t="s">
        <v>61</v>
      </c>
      <c r="E4" s="222" t="s">
        <v>231</v>
      </c>
      <c r="G4" s="222" t="s">
        <v>231</v>
      </c>
      <c r="I4" s="220" t="s">
        <v>134</v>
      </c>
      <c r="K4" s="217"/>
      <c r="M4" s="76" t="s">
        <v>155</v>
      </c>
      <c r="N4" s="81"/>
      <c r="O4" s="73" t="s">
        <v>114</v>
      </c>
      <c r="P4" s="81"/>
      <c r="Q4" s="70" t="s">
        <v>115</v>
      </c>
    </row>
    <row r="5" spans="1:17" ht="15" x14ac:dyDescent="0.25">
      <c r="C5" s="76" t="s">
        <v>73</v>
      </c>
      <c r="E5" s="38"/>
      <c r="G5" s="38"/>
      <c r="I5" s="220" t="s">
        <v>126</v>
      </c>
      <c r="K5" s="217"/>
      <c r="M5" s="76" t="s">
        <v>144</v>
      </c>
      <c r="N5" s="81"/>
      <c r="O5" s="73" t="s">
        <v>116</v>
      </c>
      <c r="P5" s="81"/>
      <c r="Q5" s="70" t="s">
        <v>117</v>
      </c>
    </row>
    <row r="6" spans="1:17" ht="15.75" thickBot="1" x14ac:dyDescent="0.3">
      <c r="C6" s="76" t="s">
        <v>62</v>
      </c>
      <c r="E6" s="38"/>
      <c r="G6" s="38"/>
      <c r="I6" s="220" t="s">
        <v>229</v>
      </c>
      <c r="K6" s="217"/>
      <c r="M6" s="76" t="s">
        <v>156</v>
      </c>
      <c r="N6" s="81"/>
      <c r="O6" s="73" t="s">
        <v>118</v>
      </c>
      <c r="P6" s="81"/>
      <c r="Q6" s="68" t="s">
        <v>119</v>
      </c>
    </row>
    <row r="7" spans="1:17" ht="15.75" thickBot="1" x14ac:dyDescent="0.3">
      <c r="C7" s="222" t="s">
        <v>231</v>
      </c>
      <c r="I7" s="220" t="s">
        <v>224</v>
      </c>
      <c r="K7" s="217"/>
      <c r="M7" s="76" t="s">
        <v>145</v>
      </c>
      <c r="N7" s="81"/>
      <c r="O7" s="74" t="s">
        <v>120</v>
      </c>
      <c r="P7" s="82"/>
    </row>
    <row r="8" spans="1:17" ht="15" x14ac:dyDescent="0.25">
      <c r="I8" s="220" t="s">
        <v>70</v>
      </c>
      <c r="K8" s="217"/>
      <c r="M8" s="76" t="s">
        <v>146</v>
      </c>
      <c r="N8" s="82"/>
    </row>
    <row r="9" spans="1:17" ht="15" x14ac:dyDescent="0.25">
      <c r="I9" s="220" t="s">
        <v>133</v>
      </c>
      <c r="K9" s="217"/>
      <c r="M9" s="77"/>
      <c r="N9" s="82"/>
    </row>
    <row r="10" spans="1:17" ht="15" x14ac:dyDescent="0.25">
      <c r="I10" s="220" t="s">
        <v>225</v>
      </c>
      <c r="K10" s="217"/>
      <c r="M10" s="77"/>
      <c r="N10" s="82"/>
    </row>
    <row r="11" spans="1:17" ht="15" x14ac:dyDescent="0.25">
      <c r="I11" s="220" t="s">
        <v>227</v>
      </c>
      <c r="K11" s="217"/>
      <c r="M11" s="77"/>
      <c r="N11" s="82"/>
    </row>
    <row r="12" spans="1:17" ht="15.75" thickBot="1" x14ac:dyDescent="0.3">
      <c r="I12" s="220" t="s">
        <v>226</v>
      </c>
      <c r="K12" s="218"/>
      <c r="M12" s="222" t="s">
        <v>231</v>
      </c>
      <c r="N12" s="82"/>
    </row>
    <row r="13" spans="1:17" ht="15" x14ac:dyDescent="0.25">
      <c r="I13" s="220" t="s">
        <v>228</v>
      </c>
      <c r="K13" s="217"/>
    </row>
    <row r="14" spans="1:17" ht="15" x14ac:dyDescent="0.25">
      <c r="I14" s="220" t="s">
        <v>127</v>
      </c>
      <c r="K14" s="217"/>
    </row>
    <row r="15" spans="1:17" ht="15" x14ac:dyDescent="0.25">
      <c r="I15" s="221" t="s">
        <v>105</v>
      </c>
      <c r="K15" s="217"/>
    </row>
    <row r="16" spans="1:17" ht="15" x14ac:dyDescent="0.25">
      <c r="I16" s="221" t="s">
        <v>135</v>
      </c>
      <c r="K16" s="217"/>
    </row>
    <row r="17" spans="9:11" ht="15" x14ac:dyDescent="0.25">
      <c r="I17" s="221" t="s">
        <v>128</v>
      </c>
      <c r="K17" s="217"/>
    </row>
    <row r="18" spans="9:11" x14ac:dyDescent="0.2">
      <c r="I18" s="221" t="s">
        <v>231</v>
      </c>
    </row>
    <row r="19" spans="9:11" x14ac:dyDescent="0.2">
      <c r="I19" s="77"/>
    </row>
    <row r="20" spans="9:11" x14ac:dyDescent="0.2">
      <c r="I20" s="77"/>
    </row>
    <row r="21" spans="9:11" ht="13.5" thickBot="1" x14ac:dyDescent="0.25">
      <c r="I21" s="222"/>
    </row>
  </sheetData>
  <sortState ref="K2:K17">
    <sortCondition ref="K17"/>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Category xmlns="3ae93c7f-92ba-4903-a313-5cef4e01309c">Resource</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37E26E8ADD9C5409F713492F703FBA6" ma:contentTypeVersion="2" ma:contentTypeDescription="Create a new document." ma:contentTypeScope="" ma:versionID="fdf9a1764af55a9451ecd145ddeedbba">
  <xsd:schema xmlns:xsd="http://www.w3.org/2001/XMLSchema" xmlns:xs="http://www.w3.org/2001/XMLSchema" xmlns:p="http://schemas.microsoft.com/office/2006/metadata/properties" xmlns:ns2="3ae93c7f-92ba-4903-a313-5cef4e01309c" targetNamespace="http://schemas.microsoft.com/office/2006/metadata/properties" ma:root="true" ma:fieldsID="da0a90a4e2ee9b0b486e39a4cab05e36" ns2:_="">
    <xsd:import namespace="3ae93c7f-92ba-4903-a313-5cef4e01309c"/>
    <xsd:element name="properties">
      <xsd:complexType>
        <xsd:sequence>
          <xsd:element name="documentManagement">
            <xsd:complexType>
              <xsd:all>
                <xsd:element ref="ns2:Categor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ae93c7f-92ba-4903-a313-5cef4e01309c" elementFormDefault="qualified">
    <xsd:import namespace="http://schemas.microsoft.com/office/2006/documentManagement/types"/>
    <xsd:import namespace="http://schemas.microsoft.com/office/infopath/2007/PartnerControls"/>
    <xsd:element name="Category" ma:index="9" nillable="true" ma:displayName="Category" ma:format="Dropdown" ma:internalName="Category">
      <xsd:simpleType>
        <xsd:restriction base="dms:Choice">
          <xsd:enumeration value="Resource"/>
          <xsd:enumeration value="Publication"/>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F64FC5B-DC5B-454E-8AB5-B55FA79D7D26}">
  <ds:schemaRefs>
    <ds:schemaRef ds:uri="http://schemas.openxmlformats.org/package/2006/metadata/core-properties"/>
    <ds:schemaRef ds:uri="3ae93c7f-92ba-4903-a313-5cef4e01309c"/>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www.w3.org/XML/1998/namespace"/>
    <ds:schemaRef ds:uri="http://purl.org/dc/dcmitype/"/>
  </ds:schemaRefs>
</ds:datastoreItem>
</file>

<file path=customXml/itemProps2.xml><?xml version="1.0" encoding="utf-8"?>
<ds:datastoreItem xmlns:ds="http://schemas.openxmlformats.org/officeDocument/2006/customXml" ds:itemID="{269FECA7-7CB2-4E34-B276-DEF6F1310577}">
  <ds:schemaRefs>
    <ds:schemaRef ds:uri="http://schemas.microsoft.com/sharepoint/v3/contenttype/forms"/>
  </ds:schemaRefs>
</ds:datastoreItem>
</file>

<file path=customXml/itemProps3.xml><?xml version="1.0" encoding="utf-8"?>
<ds:datastoreItem xmlns:ds="http://schemas.openxmlformats.org/officeDocument/2006/customXml" ds:itemID="{E55D6C44-EFC1-4BD1-BFB5-9E266FA7CB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ae93c7f-92ba-4903-a313-5cef4e0130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Input and Instructions</vt:lpstr>
      <vt:lpstr>2021 CE Credits</vt:lpstr>
      <vt:lpstr>2021 Attestation Form</vt:lpstr>
      <vt:lpstr>2000 CE Credits</vt:lpstr>
      <vt:lpstr>Guidance</vt:lpstr>
      <vt:lpstr>Annual Schedule to Attest</vt:lpstr>
      <vt:lpstr>Reference</vt:lpstr>
      <vt:lpstr>File_Name</vt:lpstr>
      <vt:lpstr>TemplateYear</vt:lpstr>
    </vt:vector>
  </TitlesOfParts>
  <Company>Humana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Manager</dc:title>
  <dc:subject>CE Tracking</dc:subject>
  <dc:creator>Michelle Santos</dc:creator>
  <dc:description>Actuarial Professional Development</dc:description>
  <cp:lastModifiedBy>Patrick Kurkiewicz</cp:lastModifiedBy>
  <cp:lastPrinted>2013-09-11T19:54:56Z</cp:lastPrinted>
  <dcterms:created xsi:type="dcterms:W3CDTF">2009-01-15T12:33:22Z</dcterms:created>
  <dcterms:modified xsi:type="dcterms:W3CDTF">2021-05-04T20:11:07Z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filetime>2009-08-05T04:00:00Z</vt:filetime>
  </property>
  <property fmtid="{D5CDD505-2E9C-101B-9397-08002B2CF9AE}" pid="3" name="TitusGUID">
    <vt:lpwstr>8029a8d7-9497-47ce-8d81-1fb07d406b54</vt:lpwstr>
  </property>
  <property fmtid="{D5CDD505-2E9C-101B-9397-08002B2CF9AE}" pid="4" name="ContentTypeId">
    <vt:lpwstr>0x010100537E26E8ADD9C5409F713492F703FBA6</vt:lpwstr>
  </property>
  <property fmtid="{D5CDD505-2E9C-101B-9397-08002B2CF9AE}" pid="5" name="ScannedBy">
    <vt:lpwstr>TCS-ContentScanned</vt:lpwstr>
  </property>
  <property fmtid="{D5CDD505-2E9C-101B-9397-08002B2CF9AE}" pid="6" name="HumanaClassification">
    <vt:lpwstr>I</vt:lpwstr>
  </property>
</Properties>
</file>